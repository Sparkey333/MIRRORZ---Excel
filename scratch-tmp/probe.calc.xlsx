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" sheetId="1" state="visible" r:id="rId3"/>
    <sheet name="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<sst xmlns="http://schemas.openxmlformats.org/spreadsheetml/2006/main" count="96" uniqueCount="95">
  <si>
    <t xml:space="preserve">a</t>
  </si>
  <si>
    <t xml:space="preserve">b</t>
  </si>
  <si>
    <t xml:space="preserve">x</t>
  </si>
  <si>
    <t xml:space="preserve">c</t>
  </si>
  <si>
    <t xml:space="preserve">case1</t>
  </si>
  <si>
    <t xml:space="preserve">case2</t>
  </si>
  <si>
    <t xml:space="preserve">case3</t>
  </si>
  <si>
    <t xml:space="preserve">case4</t>
  </si>
  <si>
    <t xml:space="preserve">case5</t>
  </si>
  <si>
    <t xml:space="preserve">case6</t>
  </si>
  <si>
    <t xml:space="preserve">case7</t>
  </si>
  <si>
    <t xml:space="preserve">case8</t>
  </si>
  <si>
    <t xml:space="preserve">case9</t>
  </si>
  <si>
    <t xml:space="preserve">case10</t>
  </si>
  <si>
    <t xml:space="preserve">case11</t>
  </si>
  <si>
    <t xml:space="preserve">case12</t>
  </si>
  <si>
    <t xml:space="preserve">case13</t>
  </si>
  <si>
    <t xml:space="preserve">case14</t>
  </si>
  <si>
    <t xml:space="preserve">case15</t>
  </si>
  <si>
    <t xml:space="preserve">case16</t>
  </si>
  <si>
    <t xml:space="preserve">case17</t>
  </si>
  <si>
    <t xml:space="preserve">case18</t>
  </si>
  <si>
    <t xml:space="preserve">case19</t>
  </si>
  <si>
    <t xml:space="preserve">case20</t>
  </si>
  <si>
    <t xml:space="preserve">case21</t>
  </si>
  <si>
    <t xml:space="preserve">case22</t>
  </si>
  <si>
    <t xml:space="preserve">case23</t>
  </si>
  <si>
    <t xml:space="preserve">case24</t>
  </si>
  <si>
    <t xml:space="preserve">case25</t>
  </si>
  <si>
    <t xml:space="preserve">case26</t>
  </si>
  <si>
    <t xml:space="preserve">case27</t>
  </si>
  <si>
    <t xml:space="preserve">case28</t>
  </si>
  <si>
    <t xml:space="preserve">case29</t>
  </si>
  <si>
    <t xml:space="preserve">case30</t>
  </si>
  <si>
    <t xml:space="preserve">case31</t>
  </si>
  <si>
    <t xml:space="preserve">case32</t>
  </si>
  <si>
    <t xml:space="preserve">case33</t>
  </si>
  <si>
    <t xml:space="preserve">case34</t>
  </si>
  <si>
    <t xml:space="preserve">case35</t>
  </si>
  <si>
    <t xml:space="preserve">case36</t>
  </si>
  <si>
    <t xml:space="preserve">case37</t>
  </si>
  <si>
    <t xml:space="preserve">case38</t>
  </si>
  <si>
    <t xml:space="preserve">case39</t>
  </si>
  <si>
    <t xml:space="preserve">case40</t>
  </si>
  <si>
    <t xml:space="preserve">case41</t>
  </si>
  <si>
    <t xml:space="preserve">case42</t>
  </si>
  <si>
    <t xml:space="preserve">case43</t>
  </si>
  <si>
    <t xml:space="preserve">case44</t>
  </si>
  <si>
    <t xml:space="preserve">case45</t>
  </si>
  <si>
    <t xml:space="preserve">case46</t>
  </si>
  <si>
    <t xml:space="preserve">case47</t>
  </si>
  <si>
    <t xml:space="preserve">case48</t>
  </si>
  <si>
    <t xml:space="preserve">case49</t>
  </si>
  <si>
    <t xml:space="preserve">case50</t>
  </si>
  <si>
    <t xml:space="preserve">case51</t>
  </si>
  <si>
    <t xml:space="preserve">case52</t>
  </si>
  <si>
    <t xml:space="preserve">case53</t>
  </si>
  <si>
    <t xml:space="preserve">case54</t>
  </si>
  <si>
    <t xml:space="preserve">case55</t>
  </si>
  <si>
    <t xml:space="preserve">case56</t>
  </si>
  <si>
    <t xml:space="preserve">case57</t>
  </si>
  <si>
    <t xml:space="preserve">case58</t>
  </si>
  <si>
    <t xml:space="preserve">case59</t>
  </si>
  <si>
    <t xml:space="preserve">case60</t>
  </si>
  <si>
    <t xml:space="preserve">case61</t>
  </si>
  <si>
    <t xml:space="preserve">case62</t>
  </si>
  <si>
    <t xml:space="preserve">case63</t>
  </si>
  <si>
    <t xml:space="preserve">case64</t>
  </si>
  <si>
    <t xml:space="preserve">case65</t>
  </si>
  <si>
    <t xml:space="preserve">case66</t>
  </si>
  <si>
    <t xml:space="preserve">case67</t>
  </si>
  <si>
    <t xml:space="preserve">case68</t>
  </si>
  <si>
    <t xml:space="preserve">case69</t>
  </si>
  <si>
    <t xml:space="preserve">case70</t>
  </si>
  <si>
    <t xml:space="preserve">case71</t>
  </si>
  <si>
    <t xml:space="preserve">case72</t>
  </si>
  <si>
    <t xml:space="preserve">case73</t>
  </si>
  <si>
    <t xml:space="preserve">case74</t>
  </si>
  <si>
    <t xml:space="preserve">case75</t>
  </si>
  <si>
    <t xml:space="preserve">case76</t>
  </si>
  <si>
    <t xml:space="preserve">case77</t>
  </si>
  <si>
    <t xml:space="preserve">case78</t>
  </si>
  <si>
    <t xml:space="preserve">case79</t>
  </si>
  <si>
    <t xml:space="preserve">case80</t>
  </si>
  <si>
    <t xml:space="preserve">case81</t>
  </si>
  <si>
    <t xml:space="preserve">case82</t>
  </si>
  <si>
    <t xml:space="preserve">case83</t>
  </si>
  <si>
    <t xml:space="preserve">case84</t>
  </si>
  <si>
    <t xml:space="preserve">case85</t>
  </si>
  <si>
    <t xml:space="preserve">case86</t>
  </si>
  <si>
    <t xml:space="preserve">case87</t>
  </si>
  <si>
    <t xml:space="preserve">case88</t>
  </si>
  <si>
    <t xml:space="preserve">case89</t>
  </si>
  <si>
    <t xml:space="preserve">case90</t>
  </si>
  <si>
    <t xml:space="preserve">case91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</si>
</sst>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4</v>
      </c>
      <c r="B1" s="0" t="n">
        <v>2</v>
      </c>
      <c r="C1" s="0" t="s">
        <v>0</v>
      </c>
      <c r="D1" s="0" t="n">
        <v>1</v>
      </c>
      <c r="E1" s="0" t="n">
        <v>10</v>
      </c>
      <c r="G1" s="0" t="n">
        <v>2.1</v>
      </c>
      <c r="H1" s="0" t="n">
        <v>1</v>
      </c>
      <c r="I1" s="0" t="n">
        <v>3</v>
      </c>
      <c r="J1" s="0" t="n">
        <v>6</v>
      </c>
    </row>
    <row r="2" customFormat="false" ht="15" hidden="false" customHeight="false" outlineLevel="0" collapsed="false">
      <c r="A2" s="0" t="n">
        <v>5</v>
      </c>
      <c r="B2" s="0" t="n">
        <v>4</v>
      </c>
      <c r="C2" s="0" t="s">
        <v>1</v>
      </c>
      <c r="D2" s="0" t="n">
        <v>2</v>
      </c>
      <c r="E2" s="0" t="s">
        <v>2</v>
      </c>
      <c r="G2" s="0" t="n">
        <v>4.3</v>
      </c>
      <c r="H2" s="0" t="n">
        <v>2</v>
      </c>
      <c r="I2" s="0" t="n">
        <v>1</v>
      </c>
      <c r="J2" s="0" t="n">
        <v>9</v>
      </c>
    </row>
    <row r="3" customFormat="false" ht="15" hidden="false" customHeight="false" outlineLevel="0" collapsed="false">
      <c r="A3" s="0" t="n">
        <v>8</v>
      </c>
      <c r="B3" s="0" t="n">
        <v>6</v>
      </c>
      <c r="C3" s="0" t="s">
        <v>0</v>
      </c>
      <c r="D3" s="0" t="n">
        <v>3</v>
      </c>
      <c r="E3" s="1" t="b">
        <f aca="false">TRUE()</f>
        <v>1</v>
      </c>
      <c r="G3" s="0" t="n">
        <v>5.9</v>
      </c>
      <c r="H3" s="0" t="n">
        <v>3</v>
      </c>
      <c r="I3" s="0" t="n">
        <v>4</v>
      </c>
      <c r="J3" s="0" t="n">
        <v>4</v>
      </c>
    </row>
    <row r="4" customFormat="false" ht="15" hidden="false" customHeight="false" outlineLevel="0" collapsed="false">
      <c r="A4" s="0" t="n">
        <v>7</v>
      </c>
      <c r="B4" s="0" t="n">
        <v>8</v>
      </c>
      <c r="C4" s="0" t="s">
        <v>3</v>
      </c>
      <c r="D4" s="0" t="n">
        <v>4</v>
      </c>
      <c r="G4" s="0" t="n">
        <v>8.4</v>
      </c>
      <c r="H4" s="0" t="n">
        <v>4</v>
      </c>
      <c r="I4" s="0" t="n">
        <v>1</v>
      </c>
      <c r="J4" s="0" t="n">
        <v>8</v>
      </c>
    </row>
    <row r="5" customFormat="false" ht="15" hidden="false" customHeight="false" outlineLevel="0" collapsed="false">
      <c r="A5" s="0" t="n">
        <v>11</v>
      </c>
      <c r="B5" s="0" t="n">
        <v>10</v>
      </c>
      <c r="D5" s="0" t="n">
        <v>5</v>
      </c>
      <c r="E5" s="0" t="n">
        <v>20</v>
      </c>
      <c r="G5" s="0" t="n">
        <v>10.1</v>
      </c>
      <c r="H5" s="0" t="n">
        <v>5</v>
      </c>
      <c r="I5" s="0" t="n">
        <v>5</v>
      </c>
      <c r="J5" s="0" t="n">
        <v>7</v>
      </c>
    </row>
    <row r="6" customFormat="false" ht="15" hidden="false" customHeight="false" outlineLevel="0" collapsed="false">
      <c r="A6" s="0" t="n">
        <v>4</v>
      </c>
      <c r="B6" s="0" t="n">
        <v>12</v>
      </c>
      <c r="D6" s="0" t="n">
        <v>6</v>
      </c>
      <c r="J6" s="0" t="n">
        <v>5</v>
      </c>
    </row>
    <row r="7" customFormat="false" ht="15" hidden="false" customHeight="false" outlineLevel="0" collapsed="false">
      <c r="A7" s="0" t="n">
        <v>3</v>
      </c>
      <c r="B7" s="0" t="n">
        <v>14</v>
      </c>
      <c r="D7" s="0" t="n">
        <v>7</v>
      </c>
    </row>
    <row r="8" customFormat="false" ht="15" hidden="false" customHeight="false" outlineLevel="0" collapsed="false">
      <c r="A8" s="0" t="n">
        <v>9</v>
      </c>
      <c r="B8" s="0" t="n">
        <v>16</v>
      </c>
      <c r="D8" s="0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</v>
      </c>
      <c r="B1" s="0" t="n">
        <f aca="false">_xlfn.NORM.S.DIST(-8,TRUE())</f>
        <v>6.22096057427176E-016</v>
      </c>
    </row>
    <row r="2" customFormat="false" ht="15" hidden="false" customHeight="false" outlineLevel="0" collapsed="false">
      <c r="A2" s="0" t="s">
        <v>5</v>
      </c>
      <c r="B2" s="0" t="n">
        <f aca="false">_xlfn.NORM.S.DIST(-20,TRUE())</f>
        <v>2.75362411860619E-089</v>
      </c>
    </row>
    <row r="3" customFormat="false" ht="15" hidden="false" customHeight="false" outlineLevel="0" collapsed="false">
      <c r="A3" s="0" t="s">
        <v>6</v>
      </c>
      <c r="B3" s="0" t="n">
        <f aca="false">_xlfn.NORM.S.INV(0.000000000001)</f>
        <v>-7.03448382530113</v>
      </c>
    </row>
    <row r="4" customFormat="false" ht="15" hidden="false" customHeight="false" outlineLevel="0" collapsed="false">
      <c r="A4" s="0" t="s">
        <v>7</v>
      </c>
      <c r="B4" s="0" t="n">
        <f aca="false">_xlfn.NORM.INV(0.5,3,2)</f>
        <v>3</v>
      </c>
    </row>
    <row r="5" customFormat="false" ht="15" hidden="false" customHeight="false" outlineLevel="0" collapsed="false">
      <c r="A5" s="0" t="s">
        <v>8</v>
      </c>
      <c r="B5" s="0" t="n">
        <f aca="false">ERFC(5)</f>
        <v>1.53745979442804E-012</v>
      </c>
    </row>
    <row r="6" customFormat="false" ht="15" hidden="false" customHeight="false" outlineLevel="0" collapsed="false">
      <c r="A6" s="0" t="s">
        <v>9</v>
      </c>
      <c r="B6" s="0" t="n">
        <f aca="false">ERFC(20)</f>
        <v>5.3958656116079E-176</v>
      </c>
    </row>
    <row r="7" customFormat="false" ht="15" hidden="false" customHeight="false" outlineLevel="0" collapsed="false">
      <c r="A7" s="0" t="s">
        <v>10</v>
      </c>
      <c r="B7" s="0" t="n">
        <f aca="false">ERF(3)</f>
        <v>0.999977909503001</v>
      </c>
    </row>
    <row r="8" customFormat="false" ht="15" hidden="false" customHeight="false" outlineLevel="0" collapsed="false">
      <c r="A8" s="0" t="s">
        <v>11</v>
      </c>
      <c r="B8" s="0" t="n">
        <f aca="false">GAMMALN(0.5)</f>
        <v>0.5723649429247</v>
      </c>
    </row>
    <row r="9" customFormat="false" ht="15" hidden="false" customHeight="false" outlineLevel="0" collapsed="false">
      <c r="A9" s="0" t="s">
        <v>12</v>
      </c>
      <c r="B9" s="0" t="n">
        <f aca="false">GAMMALN(170)</f>
        <v>701.437263808737</v>
      </c>
    </row>
    <row r="10" customFormat="false" ht="15" hidden="false" customHeight="false" outlineLevel="0" collapsed="false">
      <c r="A10" s="0" t="s">
        <v>13</v>
      </c>
      <c r="B10" s="0" t="n">
        <f aca="false">_xlfn.GAMMA(171)</f>
        <v>7.257415615308E+306</v>
      </c>
    </row>
    <row r="11" customFormat="false" ht="15" hidden="false" customHeight="false" outlineLevel="0" collapsed="false">
      <c r="A11" s="0" t="s">
        <v>14</v>
      </c>
      <c r="B11" s="0" t="n">
        <f aca="false">_xlfn.GAMMA(0.5)</f>
        <v>1.77245385090552</v>
      </c>
    </row>
    <row r="12" customFormat="false" ht="15" hidden="false" customHeight="false" outlineLevel="0" collapsed="false">
      <c r="A12" s="0" t="s">
        <v>15</v>
      </c>
      <c r="B12" s="0" t="n">
        <f aca="false">_xlfn.GAMMA(-0.5)</f>
        <v>-3.54490770181103</v>
      </c>
    </row>
    <row r="13" customFormat="false" ht="15" hidden="false" customHeight="false" outlineLevel="0" collapsed="false">
      <c r="A13" s="0" t="s">
        <v>16</v>
      </c>
      <c r="B13" s="0" t="n">
        <f aca="false">_xlfn.GAMMA(6)</f>
        <v>120</v>
      </c>
    </row>
    <row r="14" customFormat="false" ht="15" hidden="false" customHeight="false" outlineLevel="0" collapsed="false">
      <c r="A14" s="0" t="s">
        <v>17</v>
      </c>
      <c r="B14" s="0" t="n">
        <f aca="false">_xlfn.T.DIST(0,5,TRUE())</f>
        <v>0.5</v>
      </c>
    </row>
    <row r="15" customFormat="false" ht="15" hidden="false" customHeight="false" outlineLevel="0" collapsed="false">
      <c r="A15" s="0" t="s">
        <v>18</v>
      </c>
      <c r="B15" s="0" t="n">
        <f aca="false">_xlfn.T.DIST(2.5,1,TRUE())</f>
        <v>0.878881058409157</v>
      </c>
    </row>
    <row r="16" customFormat="false" ht="15" hidden="false" customHeight="false" outlineLevel="0" collapsed="false">
      <c r="A16" s="0" t="s">
        <v>19</v>
      </c>
      <c r="B16" s="0" t="n">
        <f aca="false">_xlfn.T.DIST(2.5,1000,TRUE())</f>
        <v>0.993710716099455</v>
      </c>
    </row>
    <row r="17" customFormat="false" ht="15" hidden="false" customHeight="false" outlineLevel="0" collapsed="false">
      <c r="A17" s="0" t="s">
        <v>20</v>
      </c>
      <c r="B17" s="0" t="n">
        <f aca="false">_xlfn.T.INV(0.999,3)</f>
        <v>10.2145318524073</v>
      </c>
    </row>
    <row r="18" customFormat="false" ht="15" hidden="false" customHeight="false" outlineLevel="0" collapsed="false">
      <c r="A18" s="0" t="s">
        <v>21</v>
      </c>
      <c r="B18" s="0" t="n">
        <f aca="false">_xlfn.T.INV(0.001,3)</f>
        <v>-10.2145318524073</v>
      </c>
    </row>
    <row r="19" customFormat="false" ht="15" hidden="false" customHeight="false" outlineLevel="0" collapsed="false">
      <c r="A19" s="0" t="s">
        <v>22</v>
      </c>
      <c r="B19" s="0" t="n">
        <f aca="false">_xlfn.CHISQ.DIST(100,50,TRUE())</f>
        <v>0.99996545068617</v>
      </c>
    </row>
    <row r="20" customFormat="false" ht="15" hidden="false" customHeight="false" outlineLevel="0" collapsed="false">
      <c r="A20" s="0" t="s">
        <v>23</v>
      </c>
      <c r="B20" s="0" t="n">
        <f aca="false">_xlfn.CHISQ.DIST.RT(100,50)</f>
        <v>3.45493138298487E-005</v>
      </c>
    </row>
    <row r="21" customFormat="false" ht="15" hidden="false" customHeight="false" outlineLevel="0" collapsed="false">
      <c r="A21" s="0" t="s">
        <v>24</v>
      </c>
      <c r="B21" s="0" t="n">
        <f aca="false">_xlfn.CHISQ.INV(0.999,50)</f>
        <v>86.660815190403</v>
      </c>
    </row>
    <row r="22" customFormat="false" ht="15" hidden="false" customHeight="false" outlineLevel="0" collapsed="false">
      <c r="A22" s="0" t="s">
        <v>25</v>
      </c>
      <c r="B22" s="0" t="n">
        <f aca="false">_xlfn.F.DIST(3,1,1,TRUE())</f>
        <v>0.666666666666667</v>
      </c>
    </row>
    <row r="23" customFormat="false" ht="15" hidden="false" customHeight="false" outlineLevel="0" collapsed="false">
      <c r="A23" s="0" t="s">
        <v>26</v>
      </c>
      <c r="B23" s="0" t="n">
        <f aca="false">_xlfn.F.DIST.RT(0.5,20,30)</f>
        <v>0.94533507760557</v>
      </c>
    </row>
    <row r="24" customFormat="false" ht="15" hidden="false" customHeight="false" outlineLevel="0" collapsed="false">
      <c r="A24" s="0" t="s">
        <v>27</v>
      </c>
      <c r="B24" s="0" t="n">
        <f aca="false">_xlfn.F.INV(0.5,20,30)</f>
        <v>0.988769034163568</v>
      </c>
    </row>
    <row r="25" customFormat="false" ht="15" hidden="false" customHeight="false" outlineLevel="0" collapsed="false">
      <c r="A25" s="0" t="s">
        <v>28</v>
      </c>
      <c r="B25" s="0" t="n">
        <f aca="false">_xlfn.BETA.DIST(0.5,2,3,TRUE())</f>
        <v>0.6875</v>
      </c>
    </row>
    <row r="26" customFormat="false" ht="15" hidden="false" customHeight="false" outlineLevel="0" collapsed="false">
      <c r="A26" s="0" t="s">
        <v>29</v>
      </c>
      <c r="B26" s="0" t="n">
        <f aca="false">_xlfn.BETA.DIST(0.001,0.5,0.5,TRUE())</f>
        <v>0.0201350416333775</v>
      </c>
    </row>
    <row r="27" customFormat="false" ht="15" hidden="false" customHeight="false" outlineLevel="0" collapsed="false">
      <c r="A27" s="0" t="s">
        <v>30</v>
      </c>
      <c r="B27" s="0" t="n">
        <f aca="false">_xlfn.BETA.INV(0.5,2,3)</f>
        <v>0.38572756813239</v>
      </c>
    </row>
    <row r="28" customFormat="false" ht="15" hidden="false" customHeight="false" outlineLevel="0" collapsed="false">
      <c r="A28" s="0" t="s">
        <v>31</v>
      </c>
      <c r="B28" s="0" t="n">
        <f aca="false">_xlfn.GAMMA.DIST(0.5,0.5,1,TRUE())</f>
        <v>0.682689492137086</v>
      </c>
    </row>
    <row r="29" customFormat="false" ht="15" hidden="false" customHeight="false" outlineLevel="0" collapsed="false">
      <c r="A29" s="0" t="s">
        <v>32</v>
      </c>
      <c r="B29" s="0" t="n">
        <f aca="false">_xlfn.GAMMA.INV(0.5,0.5,1)</f>
        <v>0.227468211559786</v>
      </c>
    </row>
    <row r="30" customFormat="false" ht="15" hidden="false" customHeight="false" outlineLevel="0" collapsed="false">
      <c r="A30" s="0" t="s">
        <v>33</v>
      </c>
      <c r="B30" s="0" t="n">
        <f aca="false">_xlfn.POISSON.DIST(100,50,TRUE())</f>
        <v>0.999999999843025</v>
      </c>
    </row>
    <row r="31" customFormat="false" ht="15" hidden="false" customHeight="false" outlineLevel="0" collapsed="false">
      <c r="A31" s="0" t="s">
        <v>34</v>
      </c>
      <c r="B31" s="0" t="n">
        <f aca="false">_xlfn.BINOM.DIST(500,1000,0.5,TRUE())</f>
        <v>0.512612509089179</v>
      </c>
    </row>
    <row r="32" customFormat="false" ht="15" hidden="false" customHeight="false" outlineLevel="0" collapsed="false">
      <c r="A32" s="0" t="s">
        <v>35</v>
      </c>
      <c r="B32" s="0" t="n">
        <f aca="false">_xlfn.BINOM.DIST(0,10,0.001,FALSE())</f>
        <v>0.990044880209748</v>
      </c>
    </row>
    <row r="33" customFormat="false" ht="15" hidden="false" customHeight="false" outlineLevel="0" collapsed="false">
      <c r="A33" s="0" t="s">
        <v>36</v>
      </c>
      <c r="B33" s="0" t="n">
        <f aca="false">_xlfn.NEGBINOM.DIST(0,1,0.5,FALSE())</f>
        <v>0.5</v>
      </c>
    </row>
    <row r="34" customFormat="false" ht="15" hidden="false" customHeight="false" outlineLevel="0" collapsed="false">
      <c r="A34" s="0" t="s">
        <v>37</v>
      </c>
      <c r="B34" s="0" t="n">
        <f aca="false">_xlfn.HYPGEOM.DIST(2,5,10,50,TRUE())</f>
        <v>0.951739696803791</v>
      </c>
    </row>
    <row r="35" customFormat="false" ht="15" hidden="false" customHeight="false" outlineLevel="0" collapsed="false">
      <c r="A35" s="0" t="s">
        <v>38</v>
      </c>
      <c r="B35" s="0" t="n">
        <f aca="false">_xlfn.WEIBULL.DIST(0,2,1,TRUE())</f>
        <v>0</v>
      </c>
    </row>
    <row r="36" customFormat="false" ht="15" hidden="false" customHeight="false" outlineLevel="0" collapsed="false">
      <c r="A36" s="0" t="s">
        <v>39</v>
      </c>
      <c r="B36" s="0" t="n">
        <f aca="false">_xlfn.EXPON.DIST(0,3,TRUE())</f>
        <v>0</v>
      </c>
    </row>
    <row r="37" customFormat="false" ht="15" hidden="false" customHeight="false" outlineLevel="0" collapsed="false">
      <c r="A37" s="0" t="s">
        <v>40</v>
      </c>
      <c r="B37" s="0" t="n">
        <f aca="false">_xlfn.LOGNORM.DIST(1,0,1,TRUE())</f>
        <v>0.5</v>
      </c>
    </row>
    <row r="38" customFormat="false" ht="15" hidden="false" customHeight="false" outlineLevel="0" collapsed="false">
      <c r="A38" s="0" t="s">
        <v>41</v>
      </c>
      <c r="B38" s="0" t="n">
        <f aca="false">_xlfn.CONFIDENCE.T(0.01,2.5,10)</f>
        <v>2.5692205830995</v>
      </c>
    </row>
    <row r="39" customFormat="false" ht="15" hidden="false" customHeight="false" outlineLevel="0" collapsed="false">
      <c r="A39" s="0" t="s">
        <v>42</v>
      </c>
      <c r="B39" s="0" t="n">
        <f aca="false">_xlfn.Z.TEST(D!B1:B8,8)</f>
        <v>0.28185143082538</v>
      </c>
    </row>
    <row r="40" customFormat="false" ht="15" hidden="false" customHeight="false" outlineLevel="0" collapsed="false">
      <c r="A40" s="0" t="s">
        <v>43</v>
      </c>
      <c r="B40" s="0" t="n">
        <f aca="false">FISHER(-0.5)</f>
        <v>-0.549306144334055</v>
      </c>
    </row>
    <row r="41" customFormat="false" ht="15" hidden="false" customHeight="false" outlineLevel="0" collapsed="false">
      <c r="A41" s="0" t="s">
        <v>44</v>
      </c>
      <c r="B41" s="0" t="n">
        <f aca="false">STANDARDIZE(1,0,1)</f>
        <v>1</v>
      </c>
    </row>
    <row r="42" customFormat="false" ht="15" hidden="false" customHeight="false" outlineLevel="0" collapsed="false">
      <c r="A42" s="0" t="s">
        <v>45</v>
      </c>
      <c r="B42" s="0" t="n">
        <f aca="false">SUM(LINEST(D!G1:G5,D!H1:H5))</f>
        <v>2.14</v>
      </c>
    </row>
    <row r="43" customFormat="false" ht="15" hidden="false" customHeight="false" outlineLevel="0" collapsed="false">
      <c r="A43" s="0" t="s">
        <v>46</v>
      </c>
      <c r="B43" s="0" t="e">
        <f aca="false">INDEX(LINEST(D!G1:G5,D!H1:H8,FALSE()),1,1)</f>
        <v>#VALUE!</v>
      </c>
    </row>
    <row r="44" customFormat="false" ht="15" hidden="false" customHeight="false" outlineLevel="0" collapsed="false">
      <c r="A44" s="0" t="s">
        <v>47</v>
      </c>
      <c r="B44" s="0" t="n">
        <f aca="false">INDEX(TREND(D!G1:G5,D!H1:H5,{6;7}),1,1)</f>
        <v>12.19</v>
      </c>
    </row>
    <row r="45" customFormat="false" ht="15" hidden="false" customHeight="false" outlineLevel="0" collapsed="false">
      <c r="A45" s="0" t="s">
        <v>48</v>
      </c>
      <c r="B45" s="0" t="n">
        <f aca="false">INDEX(TREND(D!G1:G5,D!H1:H5,{6;7}),2,1)</f>
        <v>14.2</v>
      </c>
    </row>
    <row r="46" customFormat="false" ht="15" hidden="false" customHeight="false" outlineLevel="0" collapsed="false">
      <c r="A46" s="0" t="s">
        <v>49</v>
      </c>
      <c r="B46" s="0" t="n">
        <f aca="false">INDEX(TREND(D!G1:G5),3,1)</f>
        <v>6.16</v>
      </c>
    </row>
    <row r="47" customFormat="false" ht="15" hidden="false" customHeight="false" outlineLevel="0" collapsed="false">
      <c r="A47" s="0" t="s">
        <v>50</v>
      </c>
      <c r="B47" s="0" t="n">
        <f aca="false">INDEX(GROWTH(D!G1:G5,D!H1:H5,{6}),1,1)</f>
        <v>16.8862253582727</v>
      </c>
    </row>
    <row r="48" customFormat="false" ht="15" hidden="false" customHeight="false" outlineLevel="0" collapsed="false">
      <c r="A48" s="0" t="s">
        <v>51</v>
      </c>
      <c r="B48" s="0" t="n">
        <f aca="false">INDEX(LINEST(D!G1:G5,D!H1:I5),1,1)</f>
        <v>-0.105357142857143</v>
      </c>
    </row>
    <row r="49" customFormat="false" ht="15" hidden="false" customHeight="false" outlineLevel="0" collapsed="false">
      <c r="A49" s="0" t="s">
        <v>52</v>
      </c>
      <c r="B49" s="0" t="n">
        <f aca="false">INDEX(LINEST(D!G1:G5,D!H1:I5),1,2)</f>
        <v>2.05214285714286</v>
      </c>
    </row>
    <row r="50" customFormat="false" ht="15" hidden="false" customHeight="false" outlineLevel="0" collapsed="false">
      <c r="A50" s="0" t="s">
        <v>53</v>
      </c>
      <c r="B50" s="0" t="n">
        <f aca="false">INDEX(LINEST(D!G1:G5,D!H1:I5),1,3)</f>
        <v>0.298571428571429</v>
      </c>
    </row>
    <row r="51" customFormat="false" ht="15" hidden="false" customHeight="false" outlineLevel="0" collapsed="false">
      <c r="A51" s="0" t="s">
        <v>54</v>
      </c>
      <c r="B51" s="0" t="n">
        <f aca="false">INDEX(TREND(D!G1:G5,D!H1:I5,D!H1:I5),2,1)</f>
        <v>4.2975</v>
      </c>
    </row>
    <row r="52" customFormat="false" ht="15" hidden="false" customHeight="false" outlineLevel="0" collapsed="false">
      <c r="A52" s="0" t="s">
        <v>55</v>
      </c>
      <c r="B52" s="0" t="n">
        <f aca="false">COUNTIF(D!A1:A8,"&gt;=5")</f>
        <v>5</v>
      </c>
    </row>
    <row r="53" customFormat="false" ht="15" hidden="false" customHeight="false" outlineLevel="0" collapsed="false">
      <c r="A53" s="0" t="s">
        <v>56</v>
      </c>
      <c r="B53" s="0" t="n">
        <f aca="false">COUNTIF(D!C1:C4,"&lt;&gt;a")</f>
        <v>2</v>
      </c>
    </row>
    <row r="54" customFormat="false" ht="15" hidden="false" customHeight="false" outlineLevel="0" collapsed="false">
      <c r="A54" s="0" t="s">
        <v>57</v>
      </c>
      <c r="B54" s="0" t="n">
        <f aca="false">COUNTIF(D!C1:C4,"a*")</f>
        <v>2</v>
      </c>
    </row>
    <row r="55" customFormat="false" ht="15" hidden="false" customHeight="false" outlineLevel="0" collapsed="false">
      <c r="A55" s="0" t="s">
        <v>58</v>
      </c>
      <c r="B55" s="0" t="n">
        <f aca="false">COUNTIF(D!E1:E5,"")</f>
        <v>1</v>
      </c>
    </row>
    <row r="56" customFormat="false" ht="15" hidden="false" customHeight="false" outlineLevel="0" collapsed="false">
      <c r="A56" s="0" t="s">
        <v>59</v>
      </c>
      <c r="B56" s="0" t="n">
        <f aca="false">COUNTBLANK(D!C1:C8)</f>
        <v>4</v>
      </c>
    </row>
    <row r="57" customFormat="false" ht="15" hidden="false" customHeight="false" outlineLevel="0" collapsed="false">
      <c r="A57" s="0" t="s">
        <v>60</v>
      </c>
      <c r="B57" s="0" t="e">
        <f aca="false">AVERAGEIF(D!A1:A8,"&gt;100")</f>
        <v>#DIV/0!</v>
      </c>
    </row>
    <row r="58" customFormat="false" ht="15" hidden="false" customHeight="false" outlineLevel="0" collapsed="false">
      <c r="A58" s="0" t="s">
        <v>61</v>
      </c>
      <c r="B58" s="0" t="n">
        <f aca="false">_xlfn.MAXIFS(D!A1:A8,D!A1:A8,"&gt;100")</f>
        <v>0</v>
      </c>
    </row>
    <row r="59" customFormat="false" ht="15" hidden="false" customHeight="false" outlineLevel="0" collapsed="false">
      <c r="A59" s="0" t="s">
        <v>62</v>
      </c>
      <c r="B59" s="0" t="n">
        <f aca="false">_xlfn.MINIFS(D!A1:A8,D!A1:A8,"&gt;100")</f>
        <v>0</v>
      </c>
    </row>
    <row r="60" customFormat="false" ht="15" hidden="false" customHeight="false" outlineLevel="0" collapsed="false">
      <c r="A60" s="0" t="s">
        <v>63</v>
      </c>
      <c r="B60" s="0" t="n">
        <f aca="false">SMALL(D!A1:A8,1)</f>
        <v>3</v>
      </c>
    </row>
    <row r="61" customFormat="false" ht="15" hidden="false" customHeight="false" outlineLevel="0" collapsed="false">
      <c r="A61" s="0" t="s">
        <v>64</v>
      </c>
      <c r="B61" s="0" t="n">
        <f aca="false">LARGE(D!A1:A8,8)</f>
        <v>3</v>
      </c>
    </row>
    <row r="62" customFormat="false" ht="15" hidden="false" customHeight="false" outlineLevel="0" collapsed="false">
      <c r="A62" s="0" t="s">
        <v>65</v>
      </c>
      <c r="B62" s="0" t="n">
        <f aca="false">MEDIAN(1,2,3,4)</f>
        <v>2.5</v>
      </c>
    </row>
    <row r="63" customFormat="false" ht="15" hidden="false" customHeight="false" outlineLevel="0" collapsed="false">
      <c r="A63" s="0" t="s">
        <v>66</v>
      </c>
      <c r="B63" s="0" t="n">
        <f aca="false">_xlfn.MODE.MULT(1,2,2,3,3)</f>
        <v>2</v>
      </c>
    </row>
    <row r="64" customFormat="false" ht="15" hidden="false" customHeight="false" outlineLevel="0" collapsed="false">
      <c r="A64" s="0" t="s">
        <v>67</v>
      </c>
      <c r="B64" s="0" t="n">
        <f aca="false">_xlfn.QUARTILE.INC(D!A1:A8,0)</f>
        <v>3</v>
      </c>
    </row>
    <row r="65" customFormat="false" ht="15" hidden="false" customHeight="false" outlineLevel="0" collapsed="false">
      <c r="A65" s="0" t="s">
        <v>68</v>
      </c>
      <c r="B65" s="0" t="n">
        <f aca="false">_xlfn.QUARTILE.INC(D!A1:A8,4)</f>
        <v>11</v>
      </c>
    </row>
    <row r="66" customFormat="false" ht="15" hidden="false" customHeight="false" outlineLevel="0" collapsed="false">
      <c r="A66" s="0" t="s">
        <v>69</v>
      </c>
      <c r="B66" s="0" t="n">
        <f aca="false">_xlfn.PERCENTILE.INC(D!A1:A8,0)</f>
        <v>3</v>
      </c>
    </row>
    <row r="67" customFormat="false" ht="15" hidden="false" customHeight="false" outlineLevel="0" collapsed="false">
      <c r="A67" s="0" t="s">
        <v>70</v>
      </c>
      <c r="B67" s="0" t="n">
        <f aca="false">_xlfn.PERCENTILE.INC(D!A1:A8,1)</f>
        <v>11</v>
      </c>
    </row>
    <row r="68" customFormat="false" ht="15" hidden="false" customHeight="false" outlineLevel="0" collapsed="false">
      <c r="A68" s="0" t="s">
        <v>71</v>
      </c>
      <c r="B68" s="0" t="n">
        <f aca="false">_xlfn.PERCENTRANK.INC(D!A1:A8,3)</f>
        <v>0</v>
      </c>
    </row>
    <row r="69" customFormat="false" ht="15" hidden="false" customHeight="false" outlineLevel="0" collapsed="false">
      <c r="A69" s="0" t="s">
        <v>72</v>
      </c>
      <c r="B69" s="0" t="n">
        <f aca="false">_xlfn.PERCENTRANK.INC(D!A1:A8,11)</f>
        <v>1</v>
      </c>
    </row>
    <row r="70" customFormat="false" ht="15" hidden="false" customHeight="false" outlineLevel="0" collapsed="false">
      <c r="A70" s="0" t="s">
        <v>73</v>
      </c>
      <c r="B70" s="0" t="n">
        <f aca="false">SKEW(1,2,3,4,5)</f>
        <v>0</v>
      </c>
    </row>
    <row r="71" customFormat="false" ht="15" hidden="false" customHeight="false" outlineLevel="0" collapsed="false">
      <c r="A71" s="0" t="s">
        <v>74</v>
      </c>
      <c r="B71" s="0" t="n">
        <f aca="false">KURT(1,2,3,4,5)</f>
        <v>-1.2</v>
      </c>
    </row>
    <row r="72" customFormat="false" ht="15" hidden="false" customHeight="false" outlineLevel="0" collapsed="false">
      <c r="A72" s="0" t="s">
        <v>75</v>
      </c>
      <c r="B72" s="0" t="n">
        <f aca="false">GEOMEAN(1,2,3,4)</f>
        <v>2.21336383940064</v>
      </c>
    </row>
    <row r="73" customFormat="false" ht="15" hidden="false" customHeight="false" outlineLevel="0" collapsed="false">
      <c r="A73" s="0" t="s">
        <v>76</v>
      </c>
      <c r="B73" s="0" t="n">
        <f aca="false">HARMEAN(1,2,3,4)</f>
        <v>1.92</v>
      </c>
    </row>
    <row r="74" customFormat="false" ht="15" hidden="false" customHeight="false" outlineLevel="0" collapsed="false">
      <c r="A74" s="0" t="s">
        <v>77</v>
      </c>
      <c r="B74" s="0" t="n">
        <f aca="false">TRIMMEAN({1,2,3,4,5,6,7,8,9,10},0.2)</f>
        <v>5.5</v>
      </c>
    </row>
    <row r="75" customFormat="false" ht="15" hidden="false" customHeight="false" outlineLevel="0" collapsed="false">
      <c r="A75" s="0" t="s">
        <v>78</v>
      </c>
      <c r="B75" s="0" t="n">
        <f aca="false">AVEDEV(1,2,3,4)</f>
        <v>1</v>
      </c>
    </row>
    <row r="76" customFormat="false" ht="15" hidden="false" customHeight="false" outlineLevel="0" collapsed="false">
      <c r="A76" s="0" t="s">
        <v>79</v>
      </c>
      <c r="B76" s="0" t="n">
        <f aca="false">DEVSQ(1,2,3,4)</f>
        <v>5</v>
      </c>
    </row>
    <row r="77" customFormat="false" ht="15" hidden="false" customHeight="false" outlineLevel="0" collapsed="false">
      <c r="A77" s="0" t="s">
        <v>80</v>
      </c>
      <c r="B77" s="0" t="n">
        <f aca="false">_xlfn.VAR.S(1,2)</f>
        <v>0.5</v>
      </c>
    </row>
    <row r="78" customFormat="false" ht="15" hidden="false" customHeight="false" outlineLevel="0" collapsed="false">
      <c r="A78" s="0" t="s">
        <v>81</v>
      </c>
      <c r="B78" s="0" t="n">
        <f aca="false">_xlfn.VAR.P(1)</f>
        <v>0</v>
      </c>
    </row>
    <row r="79" customFormat="false" ht="15" hidden="false" customHeight="false" outlineLevel="0" collapsed="false">
      <c r="A79" s="0" t="s">
        <v>82</v>
      </c>
      <c r="B79" s="0" t="n">
        <f aca="false">_xlfn.STDEV.S(1,2,3)</f>
        <v>1</v>
      </c>
    </row>
    <row r="80" customFormat="false" ht="15" hidden="false" customHeight="false" outlineLevel="0" collapsed="false">
      <c r="A80" s="0" t="s">
        <v>83</v>
      </c>
      <c r="B80" s="0" t="n">
        <f aca="false">_xlfn.COVARIANCE.P({1,2,3},{4,5,7})</f>
        <v>1</v>
      </c>
    </row>
    <row r="81" customFormat="false" ht="15" hidden="false" customHeight="false" outlineLevel="0" collapsed="false">
      <c r="A81" s="0" t="s">
        <v>84</v>
      </c>
      <c r="B81" s="0" t="n">
        <f aca="false">CORREL({1,2,3},{4,5,7})</f>
        <v>0.981980506061966</v>
      </c>
    </row>
    <row r="82" customFormat="false" ht="15" hidden="false" customHeight="false" outlineLevel="0" collapsed="false">
      <c r="A82" s="0" t="s">
        <v>85</v>
      </c>
      <c r="B82" s="0" t="n">
        <f aca="false">RSQ({1,2,3},{4,5,7})</f>
        <v>0.964285714285715</v>
      </c>
    </row>
    <row r="83" customFormat="false" ht="15" hidden="false" customHeight="false" outlineLevel="0" collapsed="false">
      <c r="A83" s="0" t="s">
        <v>86</v>
      </c>
      <c r="B83" s="0" t="n">
        <f aca="false">SLOPE({1,2,3},{4,5,7})</f>
        <v>0.642857142857143</v>
      </c>
    </row>
    <row r="84" customFormat="false" ht="15" hidden="false" customHeight="false" outlineLevel="0" collapsed="false">
      <c r="A84" s="0" t="s">
        <v>87</v>
      </c>
      <c r="B84" s="0" t="n">
        <f aca="false">INTERCEPT({1,2,3},{4,5,7})</f>
        <v>-1.42857142857143</v>
      </c>
    </row>
    <row r="85" customFormat="false" ht="15" hidden="false" customHeight="false" outlineLevel="0" collapsed="false">
      <c r="A85" s="0" t="s">
        <v>88</v>
      </c>
      <c r="B85" s="0" t="n">
        <f aca="false">_xlfn.FORECAST.LINEAR(4,{1,2,3},{4,5,7})</f>
        <v>1.14285714285714</v>
      </c>
    </row>
    <row r="86" customFormat="false" ht="15" hidden="false" customHeight="false" outlineLevel="0" collapsed="false">
      <c r="A86" s="0" t="s">
        <v>89</v>
      </c>
      <c r="B86" s="0" t="n">
        <f aca="false">PROB({0,1,2,3},{0.2,0.3,0.1,0.4},1,3)</f>
        <v>0.8</v>
      </c>
    </row>
    <row r="87" customFormat="false" ht="15" hidden="false" customHeight="false" outlineLevel="0" collapsed="false">
      <c r="A87" s="0" t="s">
        <v>90</v>
      </c>
      <c r="B87" s="0" t="n">
        <f aca="false">INDEX(FREQUENCY({1,2,3,4,5,6},{2,4}),2,1)</f>
        <v>2</v>
      </c>
    </row>
    <row r="88" customFormat="false" ht="15" hidden="false" customHeight="false" outlineLevel="0" collapsed="false">
      <c r="A88" s="0" t="s">
        <v>91</v>
      </c>
      <c r="B88" s="0" t="n">
        <f aca="false">_xlfn.T.TEST(D!A1:A8,D!B1:B8,2,2)</f>
        <v>0.210342012691939</v>
      </c>
    </row>
    <row r="89" customFormat="false" ht="15" hidden="false" customHeight="false" outlineLevel="0" collapsed="false">
      <c r="A89" s="0" t="s">
        <v>92</v>
      </c>
      <c r="B89" s="0" t="n">
        <f aca="false">_xlfn.T.TEST(D!A1:A8,D!B1:B8,2,3)</f>
        <v>0.215509196100116</v>
      </c>
    </row>
    <row r="90" customFormat="false" ht="15" hidden="false" customHeight="false" outlineLevel="0" collapsed="false">
      <c r="A90" s="0" t="s">
        <v>93</v>
      </c>
      <c r="B90" s="0" t="n">
        <f aca="false">_xlfn.F.TEST(D!A1:A8,D!B1:B8)</f>
        <v>0.169640671872362</v>
      </c>
    </row>
    <row r="91" customFormat="false" ht="15" hidden="false" customHeight="false" outlineLevel="0" collapsed="false">
      <c r="A91" s="0" t="s">
        <v>94</v>
      </c>
      <c r="B91" s="0" t="n">
        <f aca="false">_xlfn.CHISQ.TEST({10,20,30},{15,20,25})</f>
        <v>0.263597138115727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2026-08-27T23:29:59Z</dcterms:created>
  <dc:creator>openpyxl</dc:creator>
  <dc:description/>
  <dc:language>en-US</dc:language>
  <cp:lastModifiedBy/>
  <dcterms:modified xsi:type="dcterms:W3CDTF">2026-08-27T23:29:59Z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