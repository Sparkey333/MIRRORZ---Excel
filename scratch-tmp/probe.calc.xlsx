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" sheetId="1" state="visible" r:id="rId3"/>
    <sheet name="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<sst xmlns="http://schemas.openxmlformats.org/spreadsheetml/2006/main" count="157" uniqueCount="156">
  <si>
    <t xml:space="preserve">a</t>
  </si>
  <si>
    <t xml:space="preserve">b</t>
  </si>
  <si>
    <t xml:space="preserve">x</t>
  </si>
  <si>
    <t xml:space="preserve">c</t>
  </si>
  <si>
    <t xml:space="preserve">case1</t>
  </si>
  <si>
    <t xml:space="preserve">case2</t>
  </si>
  <si>
    <t xml:space="preserve">case3</t>
  </si>
  <si>
    <t xml:space="preserve">case4</t>
  </si>
  <si>
    <t xml:space="preserve">case5</t>
  </si>
  <si>
    <t xml:space="preserve">case6</t>
  </si>
  <si>
    <t xml:space="preserve">case7</t>
  </si>
  <si>
    <t xml:space="preserve">case8</t>
  </si>
  <si>
    <t xml:space="preserve">case9</t>
  </si>
  <si>
    <t xml:space="preserve">case10</t>
  </si>
  <si>
    <t xml:space="preserve">case11</t>
  </si>
  <si>
    <t xml:space="preserve">case12</t>
  </si>
  <si>
    <t xml:space="preserve">case13</t>
  </si>
  <si>
    <t xml:space="preserve">case14</t>
  </si>
  <si>
    <t xml:space="preserve">case15</t>
  </si>
  <si>
    <t xml:space="preserve">case16</t>
  </si>
  <si>
    <t xml:space="preserve">case17</t>
  </si>
  <si>
    <t xml:space="preserve">case18</t>
  </si>
  <si>
    <t xml:space="preserve">case19</t>
  </si>
  <si>
    <t xml:space="preserve">case20</t>
  </si>
  <si>
    <t xml:space="preserve">case21</t>
  </si>
  <si>
    <t xml:space="preserve">case22</t>
  </si>
  <si>
    <t xml:space="preserve">case23</t>
  </si>
  <si>
    <t xml:space="preserve">case24</t>
  </si>
  <si>
    <t xml:space="preserve">case25</t>
  </si>
  <si>
    <t xml:space="preserve">case26</t>
  </si>
  <si>
    <t xml:space="preserve">case27</t>
  </si>
  <si>
    <t xml:space="preserve">case28</t>
  </si>
  <si>
    <t xml:space="preserve">case29</t>
  </si>
  <si>
    <t xml:space="preserve">case30</t>
  </si>
  <si>
    <t xml:space="preserve">case31</t>
  </si>
  <si>
    <t xml:space="preserve">case32</t>
  </si>
  <si>
    <t xml:space="preserve">case33</t>
  </si>
  <si>
    <t xml:space="preserve">case34</t>
  </si>
  <si>
    <t xml:space="preserve">case35</t>
  </si>
  <si>
    <t xml:space="preserve">case36</t>
  </si>
  <si>
    <t xml:space="preserve">case37</t>
  </si>
  <si>
    <t xml:space="preserve">case38</t>
  </si>
  <si>
    <t xml:space="preserve">case39</t>
  </si>
  <si>
    <t xml:space="preserve">case40</t>
  </si>
  <si>
    <t xml:space="preserve">case41</t>
  </si>
  <si>
    <t xml:space="preserve">case42</t>
  </si>
  <si>
    <t xml:space="preserve">case43</t>
  </si>
  <si>
    <t xml:space="preserve">case44</t>
  </si>
  <si>
    <t xml:space="preserve">case45</t>
  </si>
  <si>
    <t xml:space="preserve">case46</t>
  </si>
  <si>
    <t xml:space="preserve">case47</t>
  </si>
  <si>
    <t xml:space="preserve">case48</t>
  </si>
  <si>
    <t xml:space="preserve">case49</t>
  </si>
  <si>
    <t xml:space="preserve">case50</t>
  </si>
  <si>
    <t xml:space="preserve">case51</t>
  </si>
  <si>
    <t xml:space="preserve">case52</t>
  </si>
  <si>
    <t xml:space="preserve">case53</t>
  </si>
  <si>
    <t xml:space="preserve">case54</t>
  </si>
  <si>
    <t xml:space="preserve">case55</t>
  </si>
  <si>
    <t xml:space="preserve">case56</t>
  </si>
  <si>
    <t xml:space="preserve">case57</t>
  </si>
  <si>
    <t xml:space="preserve">case58</t>
  </si>
  <si>
    <t xml:space="preserve">case59</t>
  </si>
  <si>
    <t xml:space="preserve">case60</t>
  </si>
  <si>
    <t xml:space="preserve">case61</t>
  </si>
  <si>
    <t xml:space="preserve">case62</t>
  </si>
  <si>
    <t xml:space="preserve">case63</t>
  </si>
  <si>
    <t xml:space="preserve">case64</t>
  </si>
  <si>
    <t xml:space="preserve">case65</t>
  </si>
  <si>
    <t xml:space="preserve">case66</t>
  </si>
  <si>
    <t xml:space="preserve">case67</t>
  </si>
  <si>
    <t xml:space="preserve">case68</t>
  </si>
  <si>
    <t xml:space="preserve">case69</t>
  </si>
  <si>
    <t xml:space="preserve">case70</t>
  </si>
  <si>
    <t xml:space="preserve">case71</t>
  </si>
  <si>
    <t xml:space="preserve">case72</t>
  </si>
  <si>
    <t xml:space="preserve">case73</t>
  </si>
  <si>
    <t xml:space="preserve">case74</t>
  </si>
  <si>
    <t xml:space="preserve">case75</t>
  </si>
  <si>
    <t xml:space="preserve">case76</t>
  </si>
  <si>
    <t xml:space="preserve">case77</t>
  </si>
  <si>
    <t xml:space="preserve">case78</t>
  </si>
  <si>
    <t xml:space="preserve">case79</t>
  </si>
  <si>
    <t xml:space="preserve">case80</t>
  </si>
  <si>
    <t xml:space="preserve">case81</t>
  </si>
  <si>
    <t xml:space="preserve">case82</t>
  </si>
  <si>
    <t xml:space="preserve">case83</t>
  </si>
  <si>
    <t xml:space="preserve">case84</t>
  </si>
  <si>
    <t xml:space="preserve">case85</t>
  </si>
  <si>
    <t xml:space="preserve">case86</t>
  </si>
  <si>
    <t xml:space="preserve">case87</t>
  </si>
  <si>
    <t xml:space="preserve">case88</t>
  </si>
  <si>
    <t xml:space="preserve">case89</t>
  </si>
  <si>
    <t xml:space="preserve">case90</t>
  </si>
  <si>
    <t xml:space="preserve">case91</t>
  </si>
  <si>
    <t xml:space="preserve">case92</t>
  </si>
  <si>
    <t xml:space="preserve">case93</t>
  </si>
  <si>
    <t xml:space="preserve">case94</t>
  </si>
  <si>
    <t xml:space="preserve">case95</t>
  </si>
  <si>
    <t xml:space="preserve">case96</t>
  </si>
  <si>
    <t xml:space="preserve">case97</t>
  </si>
  <si>
    <t xml:space="preserve">case98</t>
  </si>
  <si>
    <t xml:space="preserve">case99</t>
  </si>
  <si>
    <t xml:space="preserve">case100</t>
  </si>
  <si>
    <t xml:space="preserve">case101</t>
  </si>
  <si>
    <t xml:space="preserve">case102</t>
  </si>
  <si>
    <t xml:space="preserve">case103</t>
  </si>
  <si>
    <t xml:space="preserve">case104</t>
  </si>
  <si>
    <t xml:space="preserve">case105</t>
  </si>
  <si>
    <t xml:space="preserve">case106</t>
  </si>
  <si>
    <t xml:space="preserve">case107</t>
  </si>
  <si>
    <t xml:space="preserve">case108</t>
  </si>
  <si>
    <t xml:space="preserve">case109</t>
  </si>
  <si>
    <t xml:space="preserve">case110</t>
  </si>
  <si>
    <t xml:space="preserve">case111</t>
  </si>
  <si>
    <t xml:space="preserve">case112</t>
  </si>
  <si>
    <t xml:space="preserve">case113</t>
  </si>
  <si>
    <t xml:space="preserve">case114</t>
  </si>
  <si>
    <t xml:space="preserve">case115</t>
  </si>
  <si>
    <t xml:space="preserve">case116</t>
  </si>
  <si>
    <t xml:space="preserve">case117</t>
  </si>
  <si>
    <t xml:space="preserve">case118</t>
  </si>
  <si>
    <t xml:space="preserve">case119</t>
  </si>
  <si>
    <t xml:space="preserve">case120</t>
  </si>
  <si>
    <t xml:space="preserve">case121</t>
  </si>
  <si>
    <t xml:space="preserve">case122</t>
  </si>
  <si>
    <t xml:space="preserve">case123</t>
  </si>
  <si>
    <t xml:space="preserve">case124</t>
  </si>
  <si>
    <t xml:space="preserve">case125</t>
  </si>
  <si>
    <t xml:space="preserve">case126</t>
  </si>
  <si>
    <t xml:space="preserve">case127</t>
  </si>
  <si>
    <t xml:space="preserve">case128</t>
  </si>
  <si>
    <t xml:space="preserve">case129</t>
  </si>
  <si>
    <t xml:space="preserve">case130</t>
  </si>
  <si>
    <t xml:space="preserve">case131</t>
  </si>
  <si>
    <t xml:space="preserve">case132</t>
  </si>
  <si>
    <t xml:space="preserve">case133</t>
  </si>
  <si>
    <t xml:space="preserve">case134</t>
  </si>
  <si>
    <t xml:space="preserve">case135</t>
  </si>
  <si>
    <t xml:space="preserve">case136</t>
  </si>
  <si>
    <t xml:space="preserve">case137</t>
  </si>
  <si>
    <t xml:space="preserve">case138</t>
  </si>
  <si>
    <t xml:space="preserve">case139</t>
  </si>
  <si>
    <t xml:space="preserve">case140</t>
  </si>
  <si>
    <t xml:space="preserve">case141</t>
  </si>
  <si>
    <t xml:space="preserve">case142</t>
  </si>
  <si>
    <t xml:space="preserve">case143</t>
  </si>
  <si>
    <t xml:space="preserve">case144</t>
  </si>
  <si>
    <t xml:space="preserve">case145</t>
  </si>
  <si>
    <t xml:space="preserve">case146</t>
  </si>
  <si>
    <t xml:space="preserve">case147</t>
  </si>
  <si>
    <t xml:space="preserve">case148</t>
  </si>
  <si>
    <t xml:space="preserve">case149</t>
  </si>
  <si>
    <t xml:space="preserve">case150</t>
  </si>
  <si>
    <t xml:space="preserve">case151</t>
  </si>
  <si>
    <t xml:space="preserve">case152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</si>
</sst>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4</v>
      </c>
      <c r="B1" s="0" t="n">
        <v>2</v>
      </c>
      <c r="C1" s="0" t="s">
        <v>0</v>
      </c>
      <c r="D1" s="0" t="n">
        <v>1</v>
      </c>
      <c r="E1" s="0" t="n">
        <v>10</v>
      </c>
      <c r="G1" s="0" t="n">
        <v>2.1</v>
      </c>
      <c r="H1" s="0" t="n">
        <v>1</v>
      </c>
      <c r="I1" s="0" t="n">
        <v>3</v>
      </c>
      <c r="J1" s="0" t="n">
        <v>6</v>
      </c>
    </row>
    <row r="2" customFormat="false" ht="15" hidden="false" customHeight="false" outlineLevel="0" collapsed="false">
      <c r="A2" s="0" t="n">
        <v>5</v>
      </c>
      <c r="B2" s="0" t="n">
        <v>4</v>
      </c>
      <c r="C2" s="0" t="s">
        <v>1</v>
      </c>
      <c r="D2" s="0" t="n">
        <v>2</v>
      </c>
      <c r="E2" s="0" t="s">
        <v>2</v>
      </c>
      <c r="G2" s="0" t="n">
        <v>4.3</v>
      </c>
      <c r="H2" s="0" t="n">
        <v>2</v>
      </c>
      <c r="I2" s="0" t="n">
        <v>1</v>
      </c>
      <c r="J2" s="0" t="n">
        <v>9</v>
      </c>
    </row>
    <row r="3" customFormat="false" ht="15" hidden="false" customHeight="false" outlineLevel="0" collapsed="false">
      <c r="A3" s="0" t="n">
        <v>8</v>
      </c>
      <c r="B3" s="0" t="n">
        <v>6</v>
      </c>
      <c r="C3" s="0" t="s">
        <v>0</v>
      </c>
      <c r="D3" s="0" t="n">
        <v>3</v>
      </c>
      <c r="E3" s="1" t="b">
        <f aca="false">TRUE()</f>
        <v>1</v>
      </c>
      <c r="G3" s="0" t="n">
        <v>5.9</v>
      </c>
      <c r="H3" s="0" t="n">
        <v>3</v>
      </c>
      <c r="I3" s="0" t="n">
        <v>4</v>
      </c>
      <c r="J3" s="0" t="n">
        <v>4</v>
      </c>
    </row>
    <row r="4" customFormat="false" ht="15" hidden="false" customHeight="false" outlineLevel="0" collapsed="false">
      <c r="A4" s="0" t="n">
        <v>7</v>
      </c>
      <c r="B4" s="0" t="n">
        <v>8</v>
      </c>
      <c r="C4" s="0" t="s">
        <v>3</v>
      </c>
      <c r="D4" s="0" t="n">
        <v>4</v>
      </c>
      <c r="G4" s="0" t="n">
        <v>8.4</v>
      </c>
      <c r="H4" s="0" t="n">
        <v>4</v>
      </c>
      <c r="I4" s="0" t="n">
        <v>1</v>
      </c>
      <c r="J4" s="0" t="n">
        <v>8</v>
      </c>
    </row>
    <row r="5" customFormat="false" ht="15" hidden="false" customHeight="false" outlineLevel="0" collapsed="false">
      <c r="A5" s="0" t="n">
        <v>11</v>
      </c>
      <c r="B5" s="0" t="n">
        <v>10</v>
      </c>
      <c r="D5" s="0" t="n">
        <v>5</v>
      </c>
      <c r="E5" s="0" t="n">
        <v>20</v>
      </c>
      <c r="G5" s="0" t="n">
        <v>10.1</v>
      </c>
      <c r="H5" s="0" t="n">
        <v>5</v>
      </c>
      <c r="I5" s="0" t="n">
        <v>5</v>
      </c>
      <c r="J5" s="0" t="n">
        <v>7</v>
      </c>
    </row>
    <row r="6" customFormat="false" ht="15" hidden="false" customHeight="false" outlineLevel="0" collapsed="false">
      <c r="A6" s="0" t="n">
        <v>4</v>
      </c>
      <c r="B6" s="0" t="n">
        <v>12</v>
      </c>
      <c r="D6" s="0" t="n">
        <v>6</v>
      </c>
      <c r="J6" s="0" t="n">
        <v>5</v>
      </c>
    </row>
    <row r="7" customFormat="false" ht="15" hidden="false" customHeight="false" outlineLevel="0" collapsed="false">
      <c r="A7" s="0" t="n">
        <v>3</v>
      </c>
      <c r="B7" s="0" t="n">
        <v>14</v>
      </c>
      <c r="D7" s="0" t="n">
        <v>7</v>
      </c>
    </row>
    <row r="8" customFormat="false" ht="15" hidden="false" customHeight="false" outlineLevel="0" collapsed="false">
      <c r="A8" s="0" t="n">
        <v>9</v>
      </c>
      <c r="B8" s="0" t="n">
        <v>16</v>
      </c>
      <c r="D8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n">
        <f aca="false">AVERAGE(D!A1:A8)</f>
        <v>6.375</v>
      </c>
    </row>
    <row r="2" customFormat="false" ht="15" hidden="false" customHeight="false" outlineLevel="0" collapsed="false">
      <c r="A2" s="0" t="s">
        <v>5</v>
      </c>
      <c r="B2" s="0" t="n">
        <f aca="false">AVERAGEA(D!E1:E5)</f>
        <v>7.75</v>
      </c>
    </row>
    <row r="3" customFormat="false" ht="15" hidden="false" customHeight="false" outlineLevel="0" collapsed="false">
      <c r="A3" s="0" t="s">
        <v>6</v>
      </c>
      <c r="B3" s="0" t="n">
        <f aca="false">AVERAGE(D!E1:E5)</f>
        <v>10.3333333333333</v>
      </c>
    </row>
    <row r="4" customFormat="false" ht="15" hidden="false" customHeight="false" outlineLevel="0" collapsed="false">
      <c r="A4" s="0" t="s">
        <v>7</v>
      </c>
      <c r="B4" s="0" t="n">
        <f aca="false">COUNT(D!E1:E5)</f>
        <v>3</v>
      </c>
    </row>
    <row r="5" customFormat="false" ht="15" hidden="false" customHeight="false" outlineLevel="0" collapsed="false">
      <c r="A5" s="0" t="s">
        <v>8</v>
      </c>
      <c r="B5" s="0" t="n">
        <f aca="false">COUNTA(D!E1:E5)</f>
        <v>4</v>
      </c>
    </row>
    <row r="6" customFormat="false" ht="15" hidden="false" customHeight="false" outlineLevel="0" collapsed="false">
      <c r="A6" s="0" t="s">
        <v>9</v>
      </c>
      <c r="B6" s="0" t="n">
        <f aca="false">COUNTBLANK(D!E1:E8)</f>
        <v>4</v>
      </c>
    </row>
    <row r="7" customFormat="false" ht="15" hidden="false" customHeight="false" outlineLevel="0" collapsed="false">
      <c r="A7" s="0" t="s">
        <v>10</v>
      </c>
      <c r="B7" s="0" t="n">
        <f aca="false">COUNT(1,)</f>
        <v>2</v>
      </c>
    </row>
    <row r="8" customFormat="false" ht="15" hidden="false" customHeight="false" outlineLevel="0" collapsed="false">
      <c r="A8" s="0" t="s">
        <v>11</v>
      </c>
      <c r="B8" s="0" t="n">
        <f aca="false">COUNTA(1,)</f>
        <v>2</v>
      </c>
    </row>
    <row r="9" customFormat="false" ht="15" hidden="false" customHeight="false" outlineLevel="0" collapsed="false">
      <c r="A9" s="0" t="s">
        <v>12</v>
      </c>
      <c r="B9" s="0" t="n">
        <f aca="false">COUNTA("")</f>
        <v>1</v>
      </c>
    </row>
    <row r="10" customFormat="false" ht="15" hidden="false" customHeight="false" outlineLevel="0" collapsed="false">
      <c r="A10" s="0" t="s">
        <v>13</v>
      </c>
      <c r="B10" s="0" t="n">
        <f aca="false">COUNT("3")</f>
        <v>1</v>
      </c>
    </row>
    <row r="11" customFormat="false" ht="15" hidden="false" customHeight="false" outlineLevel="0" collapsed="false">
      <c r="A11" s="0" t="s">
        <v>14</v>
      </c>
      <c r="B11" s="0" t="n">
        <f aca="false">COUNT(TRUE())</f>
        <v>1</v>
      </c>
    </row>
    <row r="12" customFormat="false" ht="15" hidden="false" customHeight="false" outlineLevel="0" collapsed="false">
      <c r="A12" s="0" t="s">
        <v>15</v>
      </c>
      <c r="B12" s="0" t="n">
        <f aca="false">COUNTA(D!F1:F5)</f>
        <v>0</v>
      </c>
    </row>
    <row r="13" customFormat="false" ht="15" hidden="false" customHeight="false" outlineLevel="0" collapsed="false">
      <c r="A13" s="0" t="s">
        <v>16</v>
      </c>
      <c r="B13" s="0" t="n">
        <f aca="false">MAX(D!A1:A8)</f>
        <v>11</v>
      </c>
    </row>
    <row r="14" customFormat="false" ht="15" hidden="false" customHeight="false" outlineLevel="0" collapsed="false">
      <c r="A14" s="0" t="s">
        <v>17</v>
      </c>
      <c r="B14" s="0" t="n">
        <f aca="false">MIN(D!A1:A8)</f>
        <v>3</v>
      </c>
    </row>
    <row r="15" customFormat="false" ht="15" hidden="false" customHeight="false" outlineLevel="0" collapsed="false">
      <c r="A15" s="0" t="s">
        <v>18</v>
      </c>
      <c r="B15" s="0" t="n">
        <f aca="false">MAXA(D!E1:E5)</f>
        <v>20</v>
      </c>
    </row>
    <row r="16" customFormat="false" ht="15" hidden="false" customHeight="false" outlineLevel="0" collapsed="false">
      <c r="A16" s="0" t="s">
        <v>19</v>
      </c>
      <c r="B16" s="0" t="n">
        <f aca="false">MINA(D!E1:E5)</f>
        <v>0</v>
      </c>
    </row>
    <row r="17" customFormat="false" ht="15" hidden="false" customHeight="false" outlineLevel="0" collapsed="false">
      <c r="A17" s="0" t="s">
        <v>20</v>
      </c>
      <c r="B17" s="0" t="n">
        <f aca="false">MEDIAN(D!A1:A8)</f>
        <v>6</v>
      </c>
    </row>
    <row r="18" customFormat="false" ht="15" hidden="false" customHeight="false" outlineLevel="0" collapsed="false">
      <c r="A18" s="0" t="s">
        <v>21</v>
      </c>
      <c r="B18" s="0" t="n">
        <f aca="false">MEDIAN(D!A1:A7)</f>
        <v>5</v>
      </c>
    </row>
    <row r="19" customFormat="false" ht="15" hidden="false" customHeight="false" outlineLevel="0" collapsed="false">
      <c r="A19" s="0" t="s">
        <v>22</v>
      </c>
      <c r="B19" s="0" t="n">
        <f aca="false">_xlfn.MODE.SNGL(D!A1:A8)</f>
        <v>4</v>
      </c>
    </row>
    <row r="20" customFormat="false" ht="15" hidden="false" customHeight="false" outlineLevel="0" collapsed="false">
      <c r="A20" s="0" t="s">
        <v>23</v>
      </c>
      <c r="B20" s="0" t="e">
        <f aca="false">_xlfn.MODE.SNGL(D!D1:D8)</f>
        <v>#VALUE!</v>
      </c>
    </row>
    <row r="21" customFormat="false" ht="15" hidden="false" customHeight="false" outlineLevel="0" collapsed="false">
      <c r="A21" s="0" t="s">
        <v>24</v>
      </c>
      <c r="B21" s="0" t="n">
        <f aca="false">LARGE(D!A1:A8,3)</f>
        <v>8</v>
      </c>
    </row>
    <row r="22" customFormat="false" ht="15" hidden="false" customHeight="false" outlineLevel="0" collapsed="false">
      <c r="A22" s="0" t="s">
        <v>25</v>
      </c>
      <c r="B22" s="0" t="n">
        <f aca="false">SMALL(D!A1:A8,3)</f>
        <v>4</v>
      </c>
    </row>
    <row r="23" customFormat="false" ht="15" hidden="false" customHeight="false" outlineLevel="0" collapsed="false">
      <c r="A23" s="0" t="s">
        <v>26</v>
      </c>
      <c r="B23" s="0" t="n">
        <f aca="false">_xlfn.RANK.EQ(4,D!A1:A8)</f>
        <v>6</v>
      </c>
    </row>
    <row r="24" customFormat="false" ht="15" hidden="false" customHeight="false" outlineLevel="0" collapsed="false">
      <c r="A24" s="0" t="s">
        <v>27</v>
      </c>
      <c r="B24" s="0" t="n">
        <f aca="false">_xlfn.RANK.EQ(4,D!A1:A8,1)</f>
        <v>2</v>
      </c>
    </row>
    <row r="25" customFormat="false" ht="15" hidden="false" customHeight="false" outlineLevel="0" collapsed="false">
      <c r="A25" s="0" t="s">
        <v>28</v>
      </c>
      <c r="B25" s="0" t="n">
        <f aca="false">_xlfn.RANK.AVG(4,D!A1:A8)</f>
        <v>6.5</v>
      </c>
    </row>
    <row r="26" customFormat="false" ht="15" hidden="false" customHeight="false" outlineLevel="0" collapsed="false">
      <c r="A26" s="0" t="s">
        <v>29</v>
      </c>
      <c r="B26" s="0" t="n">
        <f aca="false">_xlfn.PERCENTILE.INC(D!A1:A8,0.25)</f>
        <v>4</v>
      </c>
    </row>
    <row r="27" customFormat="false" ht="15" hidden="false" customHeight="false" outlineLevel="0" collapsed="false">
      <c r="A27" s="0" t="s">
        <v>30</v>
      </c>
      <c r="B27" s="0" t="n">
        <f aca="false">_xlfn.PERCENTILE.EXC(D!A1:A8,0.25)</f>
        <v>4</v>
      </c>
    </row>
    <row r="28" customFormat="false" ht="15" hidden="false" customHeight="false" outlineLevel="0" collapsed="false">
      <c r="A28" s="0" t="s">
        <v>31</v>
      </c>
      <c r="B28" s="0" t="n">
        <f aca="false">_xlfn.QUARTILE.INC(D!A1:A8,1)</f>
        <v>4</v>
      </c>
    </row>
    <row r="29" customFormat="false" ht="15" hidden="false" customHeight="false" outlineLevel="0" collapsed="false">
      <c r="A29" s="0" t="s">
        <v>32</v>
      </c>
      <c r="B29" s="0" t="n">
        <f aca="false">_xlfn.QUARTILE.EXC(D!A1:A8,1)</f>
        <v>4</v>
      </c>
    </row>
    <row r="30" customFormat="false" ht="15" hidden="false" customHeight="false" outlineLevel="0" collapsed="false">
      <c r="A30" s="0" t="s">
        <v>33</v>
      </c>
      <c r="B30" s="0" t="n">
        <f aca="false">_xlfn.PERCENTRANK.INC(D!A1:A8,7)</f>
        <v>0.571</v>
      </c>
    </row>
    <row r="31" customFormat="false" ht="15" hidden="false" customHeight="false" outlineLevel="0" collapsed="false">
      <c r="A31" s="0" t="s">
        <v>34</v>
      </c>
      <c r="B31" s="0" t="n">
        <f aca="false">_xlfn.PERCENTRANK.EXC(D!A1:A8,7)</f>
        <v>0.556</v>
      </c>
    </row>
    <row r="32" customFormat="false" ht="15" hidden="false" customHeight="false" outlineLevel="0" collapsed="false">
      <c r="A32" s="0" t="s">
        <v>35</v>
      </c>
      <c r="B32" s="0" t="n">
        <f aca="false">_xlfn.PERCENTRANK.INC(D!A1:A8,6)</f>
        <v>0.5</v>
      </c>
    </row>
    <row r="33" customFormat="false" ht="15" hidden="false" customHeight="false" outlineLevel="0" collapsed="false">
      <c r="A33" s="0" t="s">
        <v>36</v>
      </c>
      <c r="B33" s="0" t="n">
        <f aca="false">_xlfn.PERCENTRANK.INC(D!A1:A8,3,5)</f>
        <v>0</v>
      </c>
    </row>
    <row r="34" customFormat="false" ht="15" hidden="false" customHeight="false" outlineLevel="0" collapsed="false">
      <c r="A34" s="0" t="s">
        <v>37</v>
      </c>
      <c r="B34" s="0" t="n">
        <f aca="false">_xlfn.STDEV.S(D!A1:A8)</f>
        <v>2.82526863450944</v>
      </c>
    </row>
    <row r="35" customFormat="false" ht="15" hidden="false" customHeight="false" outlineLevel="0" collapsed="false">
      <c r="A35" s="0" t="s">
        <v>38</v>
      </c>
      <c r="B35" s="0" t="n">
        <f aca="false">_xlfn.STDEV.P(D!A1:A8)</f>
        <v>2.64279681398325</v>
      </c>
    </row>
    <row r="36" customFormat="false" ht="15" hidden="false" customHeight="false" outlineLevel="0" collapsed="false">
      <c r="A36" s="0" t="s">
        <v>39</v>
      </c>
      <c r="B36" s="0" t="n">
        <f aca="false">STDEVA(D!E1:E5)</f>
        <v>9.322910847298</v>
      </c>
    </row>
    <row r="37" customFormat="false" ht="15" hidden="false" customHeight="false" outlineLevel="0" collapsed="false">
      <c r="A37" s="0" t="s">
        <v>40</v>
      </c>
      <c r="B37" s="0" t="n">
        <f aca="false">STDEVPA(D!E1:E5)</f>
        <v>8.07387763097757</v>
      </c>
    </row>
    <row r="38" customFormat="false" ht="15" hidden="false" customHeight="false" outlineLevel="0" collapsed="false">
      <c r="A38" s="0" t="s">
        <v>41</v>
      </c>
      <c r="B38" s="0" t="n">
        <f aca="false">_xlfn.VAR.S(D!A1:A8)</f>
        <v>7.98214285714286</v>
      </c>
    </row>
    <row r="39" customFormat="false" ht="15" hidden="false" customHeight="false" outlineLevel="0" collapsed="false">
      <c r="A39" s="0" t="s">
        <v>42</v>
      </c>
      <c r="B39" s="0" t="n">
        <f aca="false">_xlfn.VAR.P(D!A1:A8)</f>
        <v>6.984375</v>
      </c>
    </row>
    <row r="40" customFormat="false" ht="15" hidden="false" customHeight="false" outlineLevel="0" collapsed="false">
      <c r="A40" s="0" t="s">
        <v>43</v>
      </c>
      <c r="B40" s="0" t="n">
        <f aca="false">VARA(D!E1:E5)</f>
        <v>86.9166666666667</v>
      </c>
    </row>
    <row r="41" customFormat="false" ht="15" hidden="false" customHeight="false" outlineLevel="0" collapsed="false">
      <c r="A41" s="0" t="s">
        <v>44</v>
      </c>
      <c r="B41" s="0" t="n">
        <f aca="false">VARPA(D!E1:E5)</f>
        <v>65.1875</v>
      </c>
    </row>
    <row r="42" customFormat="false" ht="15" hidden="false" customHeight="false" outlineLevel="0" collapsed="false">
      <c r="A42" s="0" t="s">
        <v>45</v>
      </c>
      <c r="B42" s="0" t="n">
        <f aca="false">DEVSQ(D!A1:A8)</f>
        <v>55.875</v>
      </c>
    </row>
    <row r="43" customFormat="false" ht="15" hidden="false" customHeight="false" outlineLevel="0" collapsed="false">
      <c r="A43" s="0" t="s">
        <v>46</v>
      </c>
      <c r="B43" s="0" t="n">
        <f aca="false">AVEDEV(D!A1:A8)</f>
        <v>2.375</v>
      </c>
    </row>
    <row r="44" customFormat="false" ht="15" hidden="false" customHeight="false" outlineLevel="0" collapsed="false">
      <c r="A44" s="0" t="s">
        <v>47</v>
      </c>
      <c r="B44" s="0" t="n">
        <f aca="false">GEOMEAN(D!A1:A8)</f>
        <v>5.82779555555977</v>
      </c>
    </row>
    <row r="45" customFormat="false" ht="15" hidden="false" customHeight="false" outlineLevel="0" collapsed="false">
      <c r="A45" s="0" t="s">
        <v>48</v>
      </c>
      <c r="B45" s="0" t="n">
        <f aca="false">HARMEAN(D!A1:A8)</f>
        <v>5.32194197124961</v>
      </c>
    </row>
    <row r="46" customFormat="false" ht="15" hidden="false" customHeight="false" outlineLevel="0" collapsed="false">
      <c r="A46" s="0" t="s">
        <v>49</v>
      </c>
      <c r="B46" s="0" t="n">
        <f aca="false">TRIMMEAN(D!A1:A8,0.25)</f>
        <v>6.16666666666667</v>
      </c>
    </row>
    <row r="47" customFormat="false" ht="15" hidden="false" customHeight="false" outlineLevel="0" collapsed="false">
      <c r="A47" s="0" t="s">
        <v>50</v>
      </c>
      <c r="B47" s="0" t="n">
        <f aca="false">STANDARDIZE(7,5,2)</f>
        <v>1</v>
      </c>
    </row>
    <row r="48" customFormat="false" ht="15" hidden="false" customHeight="false" outlineLevel="0" collapsed="false">
      <c r="A48" s="0" t="s">
        <v>51</v>
      </c>
      <c r="B48" s="0" t="n">
        <f aca="false">SKEW(D!A1:A8)</f>
        <v>0.453719401749366</v>
      </c>
    </row>
    <row r="49" customFormat="false" ht="15" hidden="false" customHeight="false" outlineLevel="0" collapsed="false">
      <c r="A49" s="0" t="s">
        <v>52</v>
      </c>
      <c r="B49" s="0" t="n">
        <f aca="false">_xlfn.SKEW.P(D!A1:A8)</f>
        <v>0.363784832373893</v>
      </c>
    </row>
    <row r="50" customFormat="false" ht="15" hidden="false" customHeight="false" outlineLevel="0" collapsed="false">
      <c r="A50" s="0" t="s">
        <v>53</v>
      </c>
      <c r="B50" s="0" t="n">
        <f aca="false">KURT(D!A1:A8)</f>
        <v>-1.08413134543489</v>
      </c>
    </row>
    <row r="51" customFormat="false" ht="15" hidden="false" customHeight="false" outlineLevel="0" collapsed="false">
      <c r="A51" s="0" t="s">
        <v>54</v>
      </c>
      <c r="B51" s="0" t="n">
        <f aca="false">COUNTIF(D!C1:C4,"a")</f>
        <v>2</v>
      </c>
    </row>
    <row r="52" customFormat="false" ht="15" hidden="false" customHeight="false" outlineLevel="0" collapsed="false">
      <c r="A52" s="0" t="s">
        <v>55</v>
      </c>
      <c r="B52" s="0" t="n">
        <f aca="false">COUNTIFS(D!C1:C4,"a",D!A1:A4,"&gt;4")</f>
        <v>1</v>
      </c>
    </row>
    <row r="53" customFormat="false" ht="15" hidden="false" customHeight="false" outlineLevel="0" collapsed="false">
      <c r="A53" s="0" t="s">
        <v>56</v>
      </c>
      <c r="B53" s="0" t="n">
        <f aca="false">AVERAGEIF(D!A1:A8,"&gt;4")</f>
        <v>8</v>
      </c>
    </row>
    <row r="54" customFormat="false" ht="15" hidden="false" customHeight="false" outlineLevel="0" collapsed="false">
      <c r="A54" s="0" t="s">
        <v>57</v>
      </c>
      <c r="B54" s="0" t="n">
        <f aca="false">AVERAGEIF(D!C1:C4,"a",D!A1:A4)</f>
        <v>6</v>
      </c>
    </row>
    <row r="55" customFormat="false" ht="15" hidden="false" customHeight="false" outlineLevel="0" collapsed="false">
      <c r="A55" s="0" t="s">
        <v>58</v>
      </c>
      <c r="B55" s="0" t="n">
        <f aca="false">AVERAGEIFS(D!A1:A8,D!A1:A8,"&gt;4")</f>
        <v>8</v>
      </c>
    </row>
    <row r="56" customFormat="false" ht="15" hidden="false" customHeight="false" outlineLevel="0" collapsed="false">
      <c r="A56" s="0" t="s">
        <v>59</v>
      </c>
      <c r="B56" s="0" t="n">
        <f aca="false">_xlfn.MAXIFS(D!A1:A8,D!B1:B8,"&gt;6")</f>
        <v>11</v>
      </c>
    </row>
    <row r="57" customFormat="false" ht="15" hidden="false" customHeight="false" outlineLevel="0" collapsed="false">
      <c r="A57" s="0" t="s">
        <v>60</v>
      </c>
      <c r="B57" s="0" t="n">
        <f aca="false">_xlfn.MINIFS(D!A1:A8,D!B1:B8,"&gt;6")</f>
        <v>3</v>
      </c>
    </row>
    <row r="58" customFormat="false" ht="15" hidden="false" customHeight="false" outlineLevel="0" collapsed="false">
      <c r="A58" s="0" t="s">
        <v>61</v>
      </c>
      <c r="B58" s="0" t="n">
        <f aca="false">_xlfn.COVARIANCE.P(D!G1:G5,D!H1:H5)</f>
        <v>4.02</v>
      </c>
    </row>
    <row r="59" customFormat="false" ht="15" hidden="false" customHeight="false" outlineLevel="0" collapsed="false">
      <c r="A59" s="0" t="s">
        <v>62</v>
      </c>
      <c r="B59" s="0" t="n">
        <f aca="false">_xlfn.COVARIANCE.S(D!G1:G5,D!H1:H5)</f>
        <v>5.025</v>
      </c>
    </row>
    <row r="60" customFormat="false" ht="15" hidden="false" customHeight="false" outlineLevel="0" collapsed="false">
      <c r="A60" s="0" t="s">
        <v>63</v>
      </c>
      <c r="B60" s="0" t="n">
        <f aca="false">CORREL(D!G1:G5,D!H1:H5)</f>
        <v>0.99813645654035</v>
      </c>
    </row>
    <row r="61" customFormat="false" ht="15" hidden="false" customHeight="false" outlineLevel="0" collapsed="false">
      <c r="A61" s="0" t="s">
        <v>64</v>
      </c>
      <c r="B61" s="0" t="n">
        <f aca="false">PEARSON(D!G1:G5,D!H1:H5)</f>
        <v>0.99813645654035</v>
      </c>
    </row>
    <row r="62" customFormat="false" ht="15" hidden="false" customHeight="false" outlineLevel="0" collapsed="false">
      <c r="A62" s="0" t="s">
        <v>65</v>
      </c>
      <c r="B62" s="0" t="n">
        <f aca="false">RSQ(D!G1:G5,D!H1:H5)</f>
        <v>0.996276385874926</v>
      </c>
    </row>
    <row r="63" customFormat="false" ht="15" hidden="false" customHeight="false" outlineLevel="0" collapsed="false">
      <c r="A63" s="0" t="s">
        <v>66</v>
      </c>
      <c r="B63" s="0" t="n">
        <f aca="false">SLOPE(D!G1:G5,D!H1:H5)</f>
        <v>2.01</v>
      </c>
    </row>
    <row r="64" customFormat="false" ht="15" hidden="false" customHeight="false" outlineLevel="0" collapsed="false">
      <c r="A64" s="0" t="s">
        <v>67</v>
      </c>
      <c r="B64" s="0" t="n">
        <f aca="false">INTERCEPT(D!G1:G5,D!H1:H5)</f>
        <v>0.129999999999999</v>
      </c>
    </row>
    <row r="65" customFormat="false" ht="15" hidden="false" customHeight="false" outlineLevel="0" collapsed="false">
      <c r="A65" s="0" t="s">
        <v>68</v>
      </c>
      <c r="B65" s="0" t="n">
        <f aca="false">_xlfn.FORECAST.LINEAR(6,D!G1:G5,D!H1:H5)</f>
        <v>12.19</v>
      </c>
    </row>
    <row r="66" customFormat="false" ht="15" hidden="false" customHeight="false" outlineLevel="0" collapsed="false">
      <c r="A66" s="0" t="s">
        <v>69</v>
      </c>
      <c r="B66" s="0" t="n">
        <f aca="false">SUM(TREND(D!G1:G5,D!H1:H5,D!H1:H5))</f>
        <v>30.8</v>
      </c>
    </row>
    <row r="67" customFormat="false" ht="15" hidden="false" customHeight="false" outlineLevel="0" collapsed="false">
      <c r="A67" s="0" t="s">
        <v>70</v>
      </c>
      <c r="B67" s="0" t="n">
        <f aca="false">SUM(GROWTH(D!G1:G5,D!H1:H5,D!H1:H5))</f>
        <v>30.9877756763247</v>
      </c>
    </row>
    <row r="68" customFormat="false" ht="15" hidden="false" customHeight="false" outlineLevel="0" collapsed="false">
      <c r="A68" s="0" t="s">
        <v>71</v>
      </c>
      <c r="B68" s="0" t="n">
        <f aca="false">INDEX(LINEST(D!G1:G5,D!H1:H5),1,1)</f>
        <v>2.01</v>
      </c>
    </row>
    <row r="69" customFormat="false" ht="15" hidden="false" customHeight="false" outlineLevel="0" collapsed="false">
      <c r="A69" s="0" t="s">
        <v>72</v>
      </c>
      <c r="B69" s="0" t="n">
        <f aca="false">INDEX(LINEST(D!G1:G5,D!H1:H5),1,2)</f>
        <v>0.129999999999999</v>
      </c>
    </row>
    <row r="70" customFormat="false" ht="15" hidden="false" customHeight="false" outlineLevel="0" collapsed="false">
      <c r="A70" s="0" t="s">
        <v>73</v>
      </c>
      <c r="B70" s="0" t="n">
        <f aca="false">INDEX(LINEST(D!G1:G5,D!H1:H5,TRUE(),TRUE()),2,1)</f>
        <v>0.0709459888459759</v>
      </c>
    </row>
    <row r="71" customFormat="false" ht="15" hidden="false" customHeight="false" outlineLevel="0" collapsed="false">
      <c r="A71" s="0" t="s">
        <v>74</v>
      </c>
      <c r="B71" s="0" t="n">
        <f aca="false">INDEX(LINEST(D!G1:G5,D!H1:H5,TRUE(),TRUE()),3,1)</f>
        <v>0.996276385874926</v>
      </c>
    </row>
    <row r="72" customFormat="false" ht="15" hidden="false" customHeight="false" outlineLevel="0" collapsed="false">
      <c r="A72" s="0" t="s">
        <v>75</v>
      </c>
      <c r="B72" s="0" t="n">
        <f aca="false">INDEX(LINEST(D!G1:G5,D!H1:H5,TRUE(),TRUE()),3,2)</f>
        <v>0.224350915606185</v>
      </c>
    </row>
    <row r="73" customFormat="false" ht="15" hidden="false" customHeight="false" outlineLevel="0" collapsed="false">
      <c r="A73" s="0" t="s">
        <v>76</v>
      </c>
      <c r="B73" s="0" t="n">
        <f aca="false">INDEX(LINEST(D!G1:G5,D!H1:H5,TRUE(),TRUE()),4,1)</f>
        <v>802.668874172186</v>
      </c>
    </row>
    <row r="74" customFormat="false" ht="15" hidden="false" customHeight="false" outlineLevel="0" collapsed="false">
      <c r="A74" s="0" t="s">
        <v>77</v>
      </c>
      <c r="B74" s="0" t="n">
        <f aca="false">INDEX(LINEST(D!G1:G5,D!H1:H5,TRUE(),TRUE()),4,2)</f>
        <v>3</v>
      </c>
    </row>
    <row r="75" customFormat="false" ht="15" hidden="false" customHeight="false" outlineLevel="0" collapsed="false">
      <c r="A75" s="0" t="s">
        <v>78</v>
      </c>
      <c r="B75" s="0" t="n">
        <f aca="false">INDEX(LINEST(D!G1:G5,D!H1:H5,TRUE(),TRUE()),5,1)</f>
        <v>40.401</v>
      </c>
    </row>
    <row r="76" customFormat="false" ht="15" hidden="false" customHeight="false" outlineLevel="0" collapsed="false">
      <c r="A76" s="0" t="s">
        <v>79</v>
      </c>
      <c r="B76" s="0" t="n">
        <f aca="false">INDEX(LINEST(D!G1:G5,D!H1:H5,TRUE(),TRUE()),5,2)</f>
        <v>0.151</v>
      </c>
    </row>
    <row r="77" customFormat="false" ht="15" hidden="false" customHeight="false" outlineLevel="0" collapsed="false">
      <c r="A77" s="0" t="s">
        <v>80</v>
      </c>
      <c r="B77" s="0" t="n">
        <f aca="false">INDEX(FREQUENCY(D!A1:A8,{4,8}),1,1)</f>
        <v>3</v>
      </c>
    </row>
    <row r="78" customFormat="false" ht="15" hidden="false" customHeight="false" outlineLevel="0" collapsed="false">
      <c r="A78" s="0" t="s">
        <v>81</v>
      </c>
      <c r="B78" s="0" t="n">
        <f aca="false">INDEX(FREQUENCY(D!A1:A8,{4,8}),2,1)</f>
        <v>3</v>
      </c>
    </row>
    <row r="79" customFormat="false" ht="15" hidden="false" customHeight="false" outlineLevel="0" collapsed="false">
      <c r="A79" s="0" t="s">
        <v>82</v>
      </c>
      <c r="B79" s="0" t="n">
        <f aca="false">INDEX(FREQUENCY(D!A1:A8,{4,8}),3,1)</f>
        <v>2</v>
      </c>
    </row>
    <row r="80" customFormat="false" ht="15" hidden="false" customHeight="false" outlineLevel="0" collapsed="false">
      <c r="A80" s="0" t="s">
        <v>83</v>
      </c>
      <c r="B80" s="0" t="n">
        <f aca="false">PROB({1,2,3,4},{0.1,0.2,0.3,0.4},2,3)</f>
        <v>0.5</v>
      </c>
    </row>
    <row r="81" customFormat="false" ht="15" hidden="false" customHeight="false" outlineLevel="0" collapsed="false">
      <c r="A81" s="0" t="s">
        <v>84</v>
      </c>
      <c r="B81" s="0" t="n">
        <f aca="false">PROB({1,2,3,4},{0.1,0.2,0.3,0.4},2)</f>
        <v>0.2</v>
      </c>
    </row>
    <row r="82" customFormat="false" ht="15" hidden="false" customHeight="false" outlineLevel="0" collapsed="false">
      <c r="A82" s="0" t="s">
        <v>85</v>
      </c>
      <c r="B82" s="0" t="n">
        <f aca="false">_xlfn.NORM.DIST(1.5,0,1,TRUE())</f>
        <v>0.933192798731142</v>
      </c>
    </row>
    <row r="83" customFormat="false" ht="15" hidden="false" customHeight="false" outlineLevel="0" collapsed="false">
      <c r="A83" s="0" t="s">
        <v>86</v>
      </c>
      <c r="B83" s="0" t="n">
        <f aca="false">_xlfn.NORM.DIST(1.5,0,1,FALSE())</f>
        <v>0.129517595665892</v>
      </c>
    </row>
    <row r="84" customFormat="false" ht="15" hidden="false" customHeight="false" outlineLevel="0" collapsed="false">
      <c r="A84" s="0" t="s">
        <v>87</v>
      </c>
      <c r="B84" s="0" t="n">
        <f aca="false">_xlfn.NORM.DIST(42,40,1.5,TRUE())</f>
        <v>0.908788780274132</v>
      </c>
    </row>
    <row r="85" customFormat="false" ht="15" hidden="false" customHeight="false" outlineLevel="0" collapsed="false">
      <c r="A85" s="0" t="s">
        <v>88</v>
      </c>
      <c r="B85" s="0" t="n">
        <f aca="false">_xlfn.NORM.INV(0.908789,40,1.5)</f>
        <v>42.0000020095662</v>
      </c>
    </row>
    <row r="86" customFormat="false" ht="15" hidden="false" customHeight="false" outlineLevel="0" collapsed="false">
      <c r="A86" s="0" t="s">
        <v>89</v>
      </c>
      <c r="B86" s="0" t="n">
        <f aca="false">_xlfn.NORM.S.DIST(1.333333,TRUE())</f>
        <v>0.908788725604095</v>
      </c>
    </row>
    <row r="87" customFormat="false" ht="15" hidden="false" customHeight="false" outlineLevel="0" collapsed="false">
      <c r="A87" s="0" t="s">
        <v>90</v>
      </c>
      <c r="B87" s="0" t="n">
        <f aca="false">_xlfn.NORM.S.DIST(-3,TRUE())</f>
        <v>0.00134989803163009</v>
      </c>
    </row>
    <row r="88" customFormat="false" ht="15" hidden="false" customHeight="false" outlineLevel="0" collapsed="false">
      <c r="A88" s="0" t="s">
        <v>91</v>
      </c>
      <c r="B88" s="0" t="n">
        <f aca="false">_xlfn.NORM.S.DIST(1.333333,FALSE())</f>
        <v>0.164010147569367</v>
      </c>
    </row>
    <row r="89" customFormat="false" ht="15" hidden="false" customHeight="false" outlineLevel="0" collapsed="false">
      <c r="A89" s="0" t="s">
        <v>92</v>
      </c>
      <c r="B89" s="0" t="n">
        <f aca="false">_xlfn.NORM.S.INV(0.908789)</f>
        <v>1.33333467304411</v>
      </c>
    </row>
    <row r="90" customFormat="false" ht="15" hidden="false" customHeight="false" outlineLevel="0" collapsed="false">
      <c r="A90" s="0" t="s">
        <v>93</v>
      </c>
      <c r="B90" s="0" t="n">
        <f aca="false">_xlfn.NORM.S.INV(0.0000001)</f>
        <v>-5.19933758219282</v>
      </c>
    </row>
    <row r="91" customFormat="false" ht="15" hidden="false" customHeight="false" outlineLevel="0" collapsed="false">
      <c r="A91" s="0" t="s">
        <v>94</v>
      </c>
      <c r="B91" s="0" t="n">
        <f aca="false">_xlfn.LOGNORM.DIST(4,3.5,1.2,TRUE())</f>
        <v>0.0390835557068005</v>
      </c>
    </row>
    <row r="92" customFormat="false" ht="15" hidden="false" customHeight="false" outlineLevel="0" collapsed="false">
      <c r="A92" s="0" t="s">
        <v>95</v>
      </c>
      <c r="B92" s="0" t="n">
        <f aca="false">_xlfn.LOGNORM.DIST(4,3.5,1.2,FALSE())</f>
        <v>0.0176175966818192</v>
      </c>
    </row>
    <row r="93" customFormat="false" ht="15" hidden="false" customHeight="false" outlineLevel="0" collapsed="false">
      <c r="A93" s="0" t="s">
        <v>96</v>
      </c>
      <c r="B93" s="0" t="n">
        <f aca="false">_xlfn.LOGNORM.INV(0.039084,3.5,1.2)</f>
        <v>4.00002521868064</v>
      </c>
    </row>
    <row r="94" customFormat="false" ht="15" hidden="false" customHeight="false" outlineLevel="0" collapsed="false">
      <c r="A94" s="0" t="s">
        <v>97</v>
      </c>
      <c r="B94" s="0" t="n">
        <f aca="false">_xlfn.PHI(0.75)</f>
        <v>0.301137432154804</v>
      </c>
    </row>
    <row r="95" customFormat="false" ht="15" hidden="false" customHeight="false" outlineLevel="0" collapsed="false">
      <c r="A95" s="0" t="s">
        <v>98</v>
      </c>
      <c r="B95" s="0" t="n">
        <f aca="false">_xlfn.GAUSS(2)</f>
        <v>0.477249868051821</v>
      </c>
    </row>
    <row r="96" customFormat="false" ht="15" hidden="false" customHeight="false" outlineLevel="0" collapsed="false">
      <c r="A96" s="0" t="s">
        <v>99</v>
      </c>
      <c r="B96" s="0" t="n">
        <f aca="false">_xlfn.CONFIDENCE.NORM(0.05,2.5,50)</f>
        <v>0.692951912174839</v>
      </c>
    </row>
    <row r="97" customFormat="false" ht="15" hidden="false" customHeight="false" outlineLevel="0" collapsed="false">
      <c r="A97" s="0" t="s">
        <v>100</v>
      </c>
      <c r="B97" s="0" t="n">
        <f aca="false">_xlfn.CONFIDENCE.T(0.05,1,50)</f>
        <v>0.28419685549573</v>
      </c>
    </row>
    <row r="98" customFormat="false" ht="15" hidden="false" customHeight="false" outlineLevel="0" collapsed="false">
      <c r="A98" s="0" t="s">
        <v>101</v>
      </c>
      <c r="B98" s="0" t="n">
        <f aca="false">_xlfn.T.DIST(60,1,TRUE())</f>
        <v>0.994695326367377</v>
      </c>
    </row>
    <row r="99" customFormat="false" ht="15" hidden="false" customHeight="false" outlineLevel="0" collapsed="false">
      <c r="A99" s="0" t="s">
        <v>102</v>
      </c>
      <c r="B99" s="0" t="n">
        <f aca="false">_xlfn.T.DIST(-1.5,10,TRUE())</f>
        <v>0.0822536632227202</v>
      </c>
    </row>
    <row r="100" customFormat="false" ht="15" hidden="false" customHeight="false" outlineLevel="0" collapsed="false">
      <c r="A100" s="0" t="s">
        <v>103</v>
      </c>
      <c r="B100" s="0" t="n">
        <f aca="false">_xlfn.T.DIST(1.5,10,FALSE())</f>
        <v>0.127444794287092</v>
      </c>
    </row>
    <row r="101" customFormat="false" ht="15" hidden="false" customHeight="false" outlineLevel="0" collapsed="false">
      <c r="A101" s="0" t="s">
        <v>104</v>
      </c>
      <c r="B101" s="0" t="n">
        <f aca="false">_xlfn.T.DIST.2T(1.96,60)</f>
        <v>0.0546449297365292</v>
      </c>
    </row>
    <row r="102" customFormat="false" ht="15" hidden="false" customHeight="false" outlineLevel="0" collapsed="false">
      <c r="A102" s="0" t="s">
        <v>105</v>
      </c>
      <c r="B102" s="0" t="n">
        <f aca="false">_xlfn.T.DIST.RT(1.96,60)</f>
        <v>0.0273224648682646</v>
      </c>
    </row>
    <row r="103" customFormat="false" ht="15" hidden="false" customHeight="false" outlineLevel="0" collapsed="false">
      <c r="A103" s="0" t="s">
        <v>106</v>
      </c>
      <c r="B103" s="0" t="n">
        <f aca="false">_xlfn.T.INV(0.75,2)</f>
        <v>0.816496580927726</v>
      </c>
    </row>
    <row r="104" customFormat="false" ht="15" hidden="false" customHeight="false" outlineLevel="0" collapsed="false">
      <c r="A104" s="0" t="s">
        <v>107</v>
      </c>
      <c r="B104" s="0" t="n">
        <f aca="false">_xlfn.T.INV(0.05,10)</f>
        <v>-1.81246112281168</v>
      </c>
    </row>
    <row r="105" customFormat="false" ht="15" hidden="false" customHeight="false" outlineLevel="0" collapsed="false">
      <c r="A105" s="0" t="s">
        <v>108</v>
      </c>
      <c r="B105" s="0" t="n">
        <f aca="false">_xlfn.T.INV.2T(0.05,10)</f>
        <v>2.22813885198628</v>
      </c>
    </row>
    <row r="106" customFormat="false" ht="15" hidden="false" customHeight="false" outlineLevel="0" collapsed="false">
      <c r="A106" s="0" t="s">
        <v>109</v>
      </c>
      <c r="B106" s="0" t="n">
        <f aca="false">_xlfn.F.DIST(15.2069,6,4,TRUE())</f>
        <v>0.990000043002763</v>
      </c>
    </row>
    <row r="107" customFormat="false" ht="15" hidden="false" customHeight="false" outlineLevel="0" collapsed="false">
      <c r="A107" s="0" t="s">
        <v>110</v>
      </c>
      <c r="B107" s="0" t="n">
        <f aca="false">_xlfn.F.DIST(15.2069,6,4,FALSE())</f>
        <v>0.00122379170878317</v>
      </c>
    </row>
    <row r="108" customFormat="false" ht="15" hidden="false" customHeight="false" outlineLevel="0" collapsed="false">
      <c r="A108" s="0" t="s">
        <v>111</v>
      </c>
      <c r="B108" s="0" t="n">
        <f aca="false">_xlfn.F.DIST.RT(15.2069,6,4)</f>
        <v>0.00999995699723731</v>
      </c>
    </row>
    <row r="109" customFormat="false" ht="15" hidden="false" customHeight="false" outlineLevel="0" collapsed="false">
      <c r="A109" s="0" t="s">
        <v>112</v>
      </c>
      <c r="B109" s="0" t="n">
        <f aca="false">_xlfn.F.INV(0.01,6,4)</f>
        <v>0.109309914124579</v>
      </c>
    </row>
    <row r="110" customFormat="false" ht="15" hidden="false" customHeight="false" outlineLevel="0" collapsed="false">
      <c r="A110" s="0" t="s">
        <v>113</v>
      </c>
      <c r="B110" s="0" t="n">
        <f aca="false">_xlfn.F.INV.RT(0.01,6,4)</f>
        <v>15.2068648611575</v>
      </c>
    </row>
    <row r="111" customFormat="false" ht="15" hidden="false" customHeight="false" outlineLevel="0" collapsed="false">
      <c r="A111" s="0" t="s">
        <v>114</v>
      </c>
      <c r="B111" s="0" t="n">
        <f aca="false">_xlfn.CHISQ.DIST(0.5,1,TRUE())</f>
        <v>0.520499877813047</v>
      </c>
    </row>
    <row r="112" customFormat="false" ht="15" hidden="false" customHeight="false" outlineLevel="0" collapsed="false">
      <c r="A112" s="0" t="s">
        <v>115</v>
      </c>
      <c r="B112" s="0" t="n">
        <f aca="false">_xlfn.CHISQ.DIST(0.5,1,FALSE())</f>
        <v>0.439391289467722</v>
      </c>
    </row>
    <row r="113" customFormat="false" ht="15" hidden="false" customHeight="false" outlineLevel="0" collapsed="false">
      <c r="A113" s="0" t="s">
        <v>116</v>
      </c>
      <c r="B113" s="0" t="n">
        <f aca="false">_xlfn.CHISQ.DIST.RT(18.307,10)</f>
        <v>0.0500005890913981</v>
      </c>
    </row>
    <row r="114" customFormat="false" ht="15" hidden="false" customHeight="false" outlineLevel="0" collapsed="false">
      <c r="A114" s="0" t="s">
        <v>117</v>
      </c>
      <c r="B114" s="0" t="n">
        <f aca="false">_xlfn.CHISQ.INV(0.93,1)</f>
        <v>3.28302028675954</v>
      </c>
    </row>
    <row r="115" customFormat="false" ht="15" hidden="false" customHeight="false" outlineLevel="0" collapsed="false">
      <c r="A115" s="0" t="s">
        <v>118</v>
      </c>
      <c r="B115" s="0" t="n">
        <f aca="false">_xlfn.CHISQ.INV.RT(0.05,10)</f>
        <v>18.3070380532752</v>
      </c>
    </row>
    <row r="116" customFormat="false" ht="15" hidden="false" customHeight="false" outlineLevel="0" collapsed="false">
      <c r="A116" s="0" t="s">
        <v>119</v>
      </c>
      <c r="B116" s="0" t="n">
        <f aca="false">_xlfn.BINOM.DIST(6,10,0.5,FALSE())</f>
        <v>0.205078125</v>
      </c>
    </row>
    <row r="117" customFormat="false" ht="15" hidden="false" customHeight="false" outlineLevel="0" collapsed="false">
      <c r="A117" s="0" t="s">
        <v>120</v>
      </c>
      <c r="B117" s="0" t="n">
        <f aca="false">_xlfn.BINOM.DIST(6,10,0.5,TRUE())</f>
        <v>0.828125</v>
      </c>
    </row>
    <row r="118" customFormat="false" ht="15" hidden="false" customHeight="false" outlineLevel="0" collapsed="false">
      <c r="A118" s="0" t="s">
        <v>121</v>
      </c>
      <c r="B118" s="0" t="n">
        <f aca="false">_xlfn.BINOM.DIST(60,100,0.5,TRUE())</f>
        <v>0.982399899891148</v>
      </c>
    </row>
    <row r="119" customFormat="false" ht="15" hidden="false" customHeight="false" outlineLevel="0" collapsed="false">
      <c r="A119" s="0" t="s">
        <v>122</v>
      </c>
      <c r="B119" s="0" t="n">
        <f aca="false">_xlfn.BINOM.INV(6,0.5,0.75)</f>
        <v>4</v>
      </c>
    </row>
    <row r="120" customFormat="false" ht="15" hidden="false" customHeight="false" outlineLevel="0" collapsed="false">
      <c r="A120" s="0" t="s">
        <v>123</v>
      </c>
      <c r="B120" s="0" t="n">
        <f aca="false">_xlfn.BINOM.INV(100,0.3,0.95)</f>
        <v>38</v>
      </c>
    </row>
    <row r="121" customFormat="false" ht="15" hidden="false" customHeight="false" outlineLevel="0" collapsed="false">
      <c r="A121" s="0" t="s">
        <v>124</v>
      </c>
      <c r="B121" s="0" t="n">
        <f aca="false">_xlfn.NEGBINOM.DIST(10,5,0.25,FALSE())</f>
        <v>0.0550486603751779</v>
      </c>
    </row>
    <row r="122" customFormat="false" ht="15" hidden="false" customHeight="false" outlineLevel="0" collapsed="false">
      <c r="A122" s="0" t="s">
        <v>125</v>
      </c>
      <c r="B122" s="0" t="n">
        <f aca="false">_xlfn.NEGBINOM.DIST(10,5,0.25,TRUE())</f>
        <v>0.313514058478177</v>
      </c>
    </row>
    <row r="123" customFormat="false" ht="15" hidden="false" customHeight="false" outlineLevel="0" collapsed="false">
      <c r="A123" s="0" t="s">
        <v>126</v>
      </c>
      <c r="B123" s="0" t="n">
        <f aca="false">_xlfn.POISSON.DIST(2,5,FALSE())</f>
        <v>0.0842243374885683</v>
      </c>
    </row>
    <row r="124" customFormat="false" ht="15" hidden="false" customHeight="false" outlineLevel="0" collapsed="false">
      <c r="A124" s="0" t="s">
        <v>127</v>
      </c>
      <c r="B124" s="0" t="n">
        <f aca="false">_xlfn.POISSON.DIST(2,5,TRUE())</f>
        <v>0.124652019483081</v>
      </c>
    </row>
    <row r="125" customFormat="false" ht="15" hidden="false" customHeight="false" outlineLevel="0" collapsed="false">
      <c r="A125" s="0" t="s">
        <v>128</v>
      </c>
      <c r="B125" s="0" t="n">
        <f aca="false">_xlfn.HYPGEOM.DIST(1,4,8,20,FALSE())</f>
        <v>0.363261093911249</v>
      </c>
    </row>
    <row r="126" customFormat="false" ht="15" hidden="false" customHeight="false" outlineLevel="0" collapsed="false">
      <c r="A126" s="0" t="s">
        <v>129</v>
      </c>
      <c r="B126" s="0" t="n">
        <f aca="false">_xlfn.HYPGEOM.DIST(1,4,8,20,TRUE())</f>
        <v>0.465428276573787</v>
      </c>
    </row>
    <row r="127" customFormat="false" ht="15" hidden="false" customHeight="false" outlineLevel="0" collapsed="false">
      <c r="A127" s="0" t="s">
        <v>130</v>
      </c>
      <c r="B127" s="0" t="n">
        <f aca="false">_xlfn.EXPON.DIST(0.2,10,TRUE())</f>
        <v>0.864664716763387</v>
      </c>
    </row>
    <row r="128" customFormat="false" ht="15" hidden="false" customHeight="false" outlineLevel="0" collapsed="false">
      <c r="A128" s="0" t="s">
        <v>131</v>
      </c>
      <c r="B128" s="0" t="n">
        <f aca="false">_xlfn.EXPON.DIST(0.2,10,FALSE())</f>
        <v>1.35335283236613</v>
      </c>
    </row>
    <row r="129" customFormat="false" ht="15" hidden="false" customHeight="false" outlineLevel="0" collapsed="false">
      <c r="A129" s="0" t="s">
        <v>132</v>
      </c>
      <c r="B129" s="0" t="n">
        <f aca="false">_xlfn.WEIBULL.DIST(105,20,100,TRUE())</f>
        <v>0.929581390069277</v>
      </c>
    </row>
    <row r="130" customFormat="false" ht="15" hidden="false" customHeight="false" outlineLevel="0" collapsed="false">
      <c r="A130" s="0" t="s">
        <v>133</v>
      </c>
      <c r="B130" s="0" t="n">
        <f aca="false">_xlfn.WEIBULL.DIST(105,20,100,FALSE())</f>
        <v>0.0355888640245043</v>
      </c>
    </row>
    <row r="131" customFormat="false" ht="15" hidden="false" customHeight="false" outlineLevel="0" collapsed="false">
      <c r="A131" s="0" t="s">
        <v>134</v>
      </c>
      <c r="B131" s="0" t="n">
        <f aca="false">_xlfn.GAMMA.DIST(10,9,2,TRUE())</f>
        <v>0.0680936347218484</v>
      </c>
    </row>
    <row r="132" customFormat="false" ht="15" hidden="false" customHeight="false" outlineLevel="0" collapsed="false">
      <c r="A132" s="0" t="s">
        <v>135</v>
      </c>
      <c r="B132" s="0" t="n">
        <f aca="false">_xlfn.GAMMA.DIST(10,9,2,FALSE())</f>
        <v>0.0326390196740794</v>
      </c>
    </row>
    <row r="133" customFormat="false" ht="15" hidden="false" customHeight="false" outlineLevel="0" collapsed="false">
      <c r="A133" s="0" t="s">
        <v>136</v>
      </c>
      <c r="B133" s="0" t="n">
        <f aca="false">_xlfn.GAMMA.INV(0.068094,9,2)</f>
        <v>10.0000111914372</v>
      </c>
    </row>
    <row r="134" customFormat="false" ht="15" hidden="false" customHeight="false" outlineLevel="0" collapsed="false">
      <c r="A134" s="0" t="s">
        <v>137</v>
      </c>
      <c r="B134" s="0" t="n">
        <f aca="false">_xlfn.BETA.DIST(2,8,10,TRUE(),1,3)</f>
        <v>0.685470581054688</v>
      </c>
    </row>
    <row r="135" customFormat="false" ht="15" hidden="false" customHeight="false" outlineLevel="0" collapsed="false">
      <c r="A135" s="0" t="s">
        <v>138</v>
      </c>
      <c r="B135" s="0" t="n">
        <f aca="false">_xlfn.BETA.DIST(2,8,10,FALSE(),1,3)</f>
        <v>1.4837646484375</v>
      </c>
    </row>
    <row r="136" customFormat="false" ht="15" hidden="false" customHeight="false" outlineLevel="0" collapsed="false">
      <c r="A136" s="0" t="s">
        <v>139</v>
      </c>
      <c r="B136" s="0" t="n">
        <f aca="false">_xlfn.BETA.INV(0.6854706,8,10,1,3)</f>
        <v>2.00000001276841</v>
      </c>
    </row>
    <row r="137" customFormat="false" ht="15" hidden="false" customHeight="false" outlineLevel="0" collapsed="false">
      <c r="A137" s="0" t="s">
        <v>140</v>
      </c>
      <c r="B137" s="0" t="n">
        <f aca="false">_xlfn.GAMMA(2.5)</f>
        <v>1.32934038817914</v>
      </c>
    </row>
    <row r="138" customFormat="false" ht="15" hidden="false" customHeight="false" outlineLevel="0" collapsed="false">
      <c r="A138" s="0" t="s">
        <v>141</v>
      </c>
      <c r="B138" s="0" t="n">
        <f aca="false">_xlfn.GAMMA(-3.75)</f>
        <v>0.267866128861416</v>
      </c>
    </row>
    <row r="139" customFormat="false" ht="15" hidden="false" customHeight="false" outlineLevel="0" collapsed="false">
      <c r="A139" s="0" t="s">
        <v>142</v>
      </c>
      <c r="B139" s="0" t="n">
        <f aca="false">GAMMALN(4.5)</f>
        <v>2.45373657084244</v>
      </c>
    </row>
    <row r="140" customFormat="false" ht="15" hidden="false" customHeight="false" outlineLevel="0" collapsed="false">
      <c r="A140" s="0" t="s">
        <v>143</v>
      </c>
      <c r="B140" s="0" t="n">
        <f aca="false">FISHER(0.75)</f>
        <v>0.972955074527657</v>
      </c>
    </row>
    <row r="141" customFormat="false" ht="15" hidden="false" customHeight="false" outlineLevel="0" collapsed="false">
      <c r="A141" s="0" t="s">
        <v>144</v>
      </c>
      <c r="B141" s="0" t="n">
        <f aca="false">FISHERINV(0.972955)</f>
        <v>0.749999967394148</v>
      </c>
    </row>
    <row r="142" customFormat="false" ht="15" hidden="false" customHeight="false" outlineLevel="0" collapsed="false">
      <c r="A142" s="0" t="s">
        <v>145</v>
      </c>
      <c r="B142" s="0" t="n">
        <f aca="false">ERF(0.745)</f>
        <v>0.707928920095738</v>
      </c>
    </row>
    <row r="143" customFormat="false" ht="15" hidden="false" customHeight="false" outlineLevel="0" collapsed="false">
      <c r="A143" s="0" t="s">
        <v>146</v>
      </c>
      <c r="B143" s="0" t="n">
        <f aca="false">ERF(1,2)</f>
        <v>0.152621472069238</v>
      </c>
    </row>
    <row r="144" customFormat="false" ht="15" hidden="false" customHeight="false" outlineLevel="0" collapsed="false">
      <c r="A144" s="0" t="s">
        <v>147</v>
      </c>
      <c r="B144" s="0" t="n">
        <f aca="false">ERFC(1)</f>
        <v>0.157299207050285</v>
      </c>
    </row>
    <row r="145" customFormat="false" ht="15" hidden="false" customHeight="false" outlineLevel="0" collapsed="false">
      <c r="A145" s="0" t="s">
        <v>148</v>
      </c>
      <c r="B145" s="0" t="n">
        <f aca="false">ERFC(-1)</f>
        <v>1.84270079294972</v>
      </c>
    </row>
    <row r="146" customFormat="false" ht="15" hidden="false" customHeight="false" outlineLevel="0" collapsed="false">
      <c r="A146" s="0" t="s">
        <v>149</v>
      </c>
      <c r="B146" s="0" t="n">
        <f aca="false">_xlfn.Z.TEST(D!A1:A8,4)</f>
        <v>0.00871155661664841</v>
      </c>
    </row>
    <row r="147" customFormat="false" ht="15" hidden="false" customHeight="false" outlineLevel="0" collapsed="false">
      <c r="A147" s="0" t="s">
        <v>150</v>
      </c>
      <c r="B147" s="0" t="n">
        <f aca="false">_xlfn.Z.TEST(D!A1:A8,4,1)</f>
        <v>9.2425511688532E-012</v>
      </c>
    </row>
    <row r="148" customFormat="false" ht="15" hidden="false" customHeight="false" outlineLevel="0" collapsed="false">
      <c r="A148" s="0" t="s">
        <v>151</v>
      </c>
      <c r="B148" s="0" t="n">
        <f aca="false">_xlfn.T.TEST(D!A1:A5,D!G1:G5,2,1)</f>
        <v>0.248575700108013</v>
      </c>
    </row>
    <row r="149" customFormat="false" ht="15" hidden="false" customHeight="false" outlineLevel="0" collapsed="false">
      <c r="A149" s="0" t="s">
        <v>152</v>
      </c>
      <c r="B149" s="0" t="n">
        <f aca="false">_xlfn.T.TEST(D!A1:A5,D!G1:G5,1,2)</f>
        <v>0.333281780323974</v>
      </c>
    </row>
    <row r="150" customFormat="false" ht="15" hidden="false" customHeight="false" outlineLevel="0" collapsed="false">
      <c r="A150" s="0" t="s">
        <v>153</v>
      </c>
      <c r="B150" s="0" t="n">
        <f aca="false">_xlfn.T.TEST(D!A1:A5,D!G1:G5,2,3)</f>
        <v>0.666822716987087</v>
      </c>
    </row>
    <row r="151" customFormat="false" ht="15" hidden="false" customHeight="false" outlineLevel="0" collapsed="false">
      <c r="A151" s="0" t="s">
        <v>154</v>
      </c>
      <c r="B151" s="0" t="n">
        <f aca="false">_xlfn.F.TEST(D!A1:A5,D!G1:G5)</f>
        <v>0.777327645175304</v>
      </c>
    </row>
    <row r="152" customFormat="false" ht="15" hidden="false" customHeight="false" outlineLevel="0" collapsed="false">
      <c r="A152" s="0" t="s">
        <v>155</v>
      </c>
      <c r="B152" s="0" t="n">
        <f aca="false">_xlfn.CHISQ.TEST({58,35;11,25},{45.35,47.65;17.65,18.35})</f>
        <v>0.000591553680236598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2026-08-27T23:29:11Z</dcterms:created>
  <dc:creator>openpyxl</dc:creator>
  <dc:description/>
  <dc:language>en-US</dc:language>
  <cp:lastModifiedBy/>
  <dcterms:modified xsi:type="dcterms:W3CDTF">2026-08-27T23:29:11Z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