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" sheetId="1" state="visible" r:id="rId1"/>
    <sheet name="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n">
        <v>4</v>
      </c>
      <c r="B1" t="n">
        <v>2</v>
      </c>
      <c r="C1" t="inlineStr">
        <is>
          <t>a</t>
        </is>
      </c>
      <c r="D1" t="n">
        <v>1</v>
      </c>
      <c r="E1" t="n">
        <v>10</v>
      </c>
      <c r="G1" t="n">
        <v>2.1</v>
      </c>
      <c r="H1" t="n">
        <v>1</v>
      </c>
      <c r="I1" t="n">
        <v>3</v>
      </c>
      <c r="J1" t="n">
        <v>6</v>
      </c>
    </row>
    <row r="2">
      <c r="A2" t="n">
        <v>5</v>
      </c>
      <c r="B2" t="n">
        <v>4</v>
      </c>
      <c r="C2" t="inlineStr">
        <is>
          <t>b</t>
        </is>
      </c>
      <c r="D2" t="n">
        <v>2</v>
      </c>
      <c r="E2" t="inlineStr">
        <is>
          <t>x</t>
        </is>
      </c>
      <c r="G2" t="n">
        <v>4.3</v>
      </c>
      <c r="H2" t="n">
        <v>2</v>
      </c>
      <c r="I2" t="n">
        <v>1</v>
      </c>
      <c r="J2" t="n">
        <v>9</v>
      </c>
    </row>
    <row r="3">
      <c r="A3" t="n">
        <v>8</v>
      </c>
      <c r="B3" t="n">
        <v>6</v>
      </c>
      <c r="C3" t="inlineStr">
        <is>
          <t>a</t>
        </is>
      </c>
      <c r="D3" t="n">
        <v>3</v>
      </c>
      <c r="E3" t="b">
        <v>1</v>
      </c>
      <c r="G3" t="n">
        <v>5.9</v>
      </c>
      <c r="H3" t="n">
        <v>3</v>
      </c>
      <c r="I3" t="n">
        <v>4</v>
      </c>
      <c r="J3" t="n">
        <v>4</v>
      </c>
    </row>
    <row r="4">
      <c r="A4" t="n">
        <v>7</v>
      </c>
      <c r="B4" t="n">
        <v>8</v>
      </c>
      <c r="C4" t="inlineStr">
        <is>
          <t>c</t>
        </is>
      </c>
      <c r="D4" t="n">
        <v>4</v>
      </c>
      <c r="E4" t="inlineStr"/>
      <c r="G4" t="n">
        <v>8.4</v>
      </c>
      <c r="H4" t="n">
        <v>4</v>
      </c>
      <c r="I4" t="n">
        <v>1</v>
      </c>
      <c r="J4" t="n">
        <v>8</v>
      </c>
    </row>
    <row r="5">
      <c r="A5" t="n">
        <v>11</v>
      </c>
      <c r="B5" t="n">
        <v>10</v>
      </c>
      <c r="D5" t="n">
        <v>5</v>
      </c>
      <c r="E5" t="n">
        <v>20</v>
      </c>
      <c r="G5" t="n">
        <v>10.1</v>
      </c>
      <c r="H5" t="n">
        <v>5</v>
      </c>
      <c r="I5" t="n">
        <v>5</v>
      </c>
      <c r="J5" t="n">
        <v>7</v>
      </c>
    </row>
    <row r="6">
      <c r="A6" t="n">
        <v>4</v>
      </c>
      <c r="B6" t="n">
        <v>12</v>
      </c>
      <c r="D6" t="n">
        <v>6</v>
      </c>
      <c r="J6" t="n">
        <v>5</v>
      </c>
    </row>
    <row r="7">
      <c r="A7" t="n">
        <v>3</v>
      </c>
      <c r="B7" t="n">
        <v>14</v>
      </c>
      <c r="D7" t="n">
        <v>7</v>
      </c>
    </row>
    <row r="8">
      <c r="A8" t="n">
        <v>9</v>
      </c>
      <c r="B8" t="n">
        <v>16</v>
      </c>
      <c r="D8" t="n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case1</t>
        </is>
      </c>
      <c r="B1">
        <f>_xlfn.NORM.S.DIST(-8,TRUE)</f>
        <v/>
      </c>
    </row>
    <row r="2">
      <c r="A2" t="inlineStr">
        <is>
          <t>case2</t>
        </is>
      </c>
      <c r="B2">
        <f>_xlfn.NORM.S.DIST(-20,TRUE)</f>
        <v/>
      </c>
    </row>
    <row r="3">
      <c r="A3" t="inlineStr">
        <is>
          <t>case3</t>
        </is>
      </c>
      <c r="B3">
        <f>_xlfn.NORM.S.INV(0.000000000001)</f>
        <v/>
      </c>
    </row>
    <row r="4">
      <c r="A4" t="inlineStr">
        <is>
          <t>case4</t>
        </is>
      </c>
      <c r="B4">
        <f>_xlfn.NORM.INV(0.5,3,2)</f>
        <v/>
      </c>
    </row>
    <row r="5">
      <c r="A5" t="inlineStr">
        <is>
          <t>case5</t>
        </is>
      </c>
      <c r="B5">
        <f>ERFC(5)</f>
        <v/>
      </c>
    </row>
    <row r="6">
      <c r="A6" t="inlineStr">
        <is>
          <t>case6</t>
        </is>
      </c>
      <c r="B6">
        <f>ERFC(20)</f>
        <v/>
      </c>
    </row>
    <row r="7">
      <c r="A7" t="inlineStr">
        <is>
          <t>case7</t>
        </is>
      </c>
      <c r="B7">
        <f>ERF(3)</f>
        <v/>
      </c>
    </row>
    <row r="8">
      <c r="A8" t="inlineStr">
        <is>
          <t>case8</t>
        </is>
      </c>
      <c r="B8">
        <f>GAMMALN(0.5)</f>
        <v/>
      </c>
    </row>
    <row r="9">
      <c r="A9" t="inlineStr">
        <is>
          <t>case9</t>
        </is>
      </c>
      <c r="B9">
        <f>GAMMALN(170)</f>
        <v/>
      </c>
    </row>
    <row r="10">
      <c r="A10" t="inlineStr">
        <is>
          <t>case10</t>
        </is>
      </c>
      <c r="B10">
        <f>_xlfn.GAMMA(171)</f>
        <v/>
      </c>
    </row>
    <row r="11">
      <c r="A11" t="inlineStr">
        <is>
          <t>case11</t>
        </is>
      </c>
      <c r="B11">
        <f>_xlfn.GAMMA(0.5)</f>
        <v/>
      </c>
    </row>
    <row r="12">
      <c r="A12" t="inlineStr">
        <is>
          <t>case12</t>
        </is>
      </c>
      <c r="B12">
        <f>_xlfn.GAMMA(-0.5)</f>
        <v/>
      </c>
    </row>
    <row r="13">
      <c r="A13" t="inlineStr">
        <is>
          <t>case13</t>
        </is>
      </c>
      <c r="B13">
        <f>_xlfn.GAMMA(6)</f>
        <v/>
      </c>
    </row>
    <row r="14">
      <c r="A14" t="inlineStr">
        <is>
          <t>case14</t>
        </is>
      </c>
      <c r="B14">
        <f>_xlfn.T.DIST(0,5,TRUE)</f>
        <v/>
      </c>
    </row>
    <row r="15">
      <c r="A15" t="inlineStr">
        <is>
          <t>case15</t>
        </is>
      </c>
      <c r="B15">
        <f>_xlfn.T.DIST(2.5,1,TRUE)</f>
        <v/>
      </c>
    </row>
    <row r="16">
      <c r="A16" t="inlineStr">
        <is>
          <t>case16</t>
        </is>
      </c>
      <c r="B16">
        <f>_xlfn.T.DIST(2.5,1000,TRUE)</f>
        <v/>
      </c>
    </row>
    <row r="17">
      <c r="A17" t="inlineStr">
        <is>
          <t>case17</t>
        </is>
      </c>
      <c r="B17">
        <f>_xlfn.T.INV(0.999,3)</f>
        <v/>
      </c>
    </row>
    <row r="18">
      <c r="A18" t="inlineStr">
        <is>
          <t>case18</t>
        </is>
      </c>
      <c r="B18">
        <f>_xlfn.T.INV(0.001,3)</f>
        <v/>
      </c>
    </row>
    <row r="19">
      <c r="A19" t="inlineStr">
        <is>
          <t>case19</t>
        </is>
      </c>
      <c r="B19">
        <f>_xlfn.CHISQ.DIST(100,50,TRUE)</f>
        <v/>
      </c>
    </row>
    <row r="20">
      <c r="A20" t="inlineStr">
        <is>
          <t>case20</t>
        </is>
      </c>
      <c r="B20">
        <f>_xlfn.CHISQ.DIST.RT(100,50)</f>
        <v/>
      </c>
    </row>
    <row r="21">
      <c r="A21" t="inlineStr">
        <is>
          <t>case21</t>
        </is>
      </c>
      <c r="B21">
        <f>_xlfn.CHISQ.INV(0.999,50)</f>
        <v/>
      </c>
    </row>
    <row r="22">
      <c r="A22" t="inlineStr">
        <is>
          <t>case22</t>
        </is>
      </c>
      <c r="B22">
        <f>_xlfn.F.DIST(3,1,1,TRUE)</f>
        <v/>
      </c>
    </row>
    <row r="23">
      <c r="A23" t="inlineStr">
        <is>
          <t>case23</t>
        </is>
      </c>
      <c r="B23">
        <f>_xlfn.F.DIST.RT(0.5,20,30)</f>
        <v/>
      </c>
    </row>
    <row r="24">
      <c r="A24" t="inlineStr">
        <is>
          <t>case24</t>
        </is>
      </c>
      <c r="B24">
        <f>_xlfn.F.INV(0.5,20,30)</f>
        <v/>
      </c>
    </row>
    <row r="25">
      <c r="A25" t="inlineStr">
        <is>
          <t>case25</t>
        </is>
      </c>
      <c r="B25">
        <f>_xlfn.BETA.DIST(0.5,2,3,TRUE)</f>
        <v/>
      </c>
    </row>
    <row r="26">
      <c r="A26" t="inlineStr">
        <is>
          <t>case26</t>
        </is>
      </c>
      <c r="B26">
        <f>_xlfn.BETA.DIST(0.001,0.5,0.5,TRUE)</f>
        <v/>
      </c>
    </row>
    <row r="27">
      <c r="A27" t="inlineStr">
        <is>
          <t>case27</t>
        </is>
      </c>
      <c r="B27">
        <f>_xlfn.BETA.INV(0.5,2,3)</f>
        <v/>
      </c>
    </row>
    <row r="28">
      <c r="A28" t="inlineStr">
        <is>
          <t>case28</t>
        </is>
      </c>
      <c r="B28">
        <f>_xlfn.GAMMA.DIST(0.5,0.5,1,TRUE)</f>
        <v/>
      </c>
    </row>
    <row r="29">
      <c r="A29" t="inlineStr">
        <is>
          <t>case29</t>
        </is>
      </c>
      <c r="B29">
        <f>_xlfn.GAMMA.INV(0.5,0.5,1)</f>
        <v/>
      </c>
    </row>
    <row r="30">
      <c r="A30" t="inlineStr">
        <is>
          <t>case30</t>
        </is>
      </c>
      <c r="B30">
        <f>_xlfn.POISSON.DIST(100,50,TRUE)</f>
        <v/>
      </c>
    </row>
    <row r="31">
      <c r="A31" t="inlineStr">
        <is>
          <t>case31</t>
        </is>
      </c>
      <c r="B31">
        <f>_xlfn.BINOM.DIST(500,1000,0.5,TRUE)</f>
        <v/>
      </c>
    </row>
    <row r="32">
      <c r="A32" t="inlineStr">
        <is>
          <t>case32</t>
        </is>
      </c>
      <c r="B32">
        <f>_xlfn.BINOM.DIST(0,10,0.001,FALSE)</f>
        <v/>
      </c>
    </row>
    <row r="33">
      <c r="A33" t="inlineStr">
        <is>
          <t>case33</t>
        </is>
      </c>
      <c r="B33">
        <f>_xlfn.NEGBINOM.DIST(0,1,0.5,FALSE)</f>
        <v/>
      </c>
    </row>
    <row r="34">
      <c r="A34" t="inlineStr">
        <is>
          <t>case34</t>
        </is>
      </c>
      <c r="B34">
        <f>_xlfn.HYPGEOM.DIST(2,5,10,50,TRUE)</f>
        <v/>
      </c>
    </row>
    <row r="35">
      <c r="A35" t="inlineStr">
        <is>
          <t>case35</t>
        </is>
      </c>
      <c r="B35">
        <f>_xlfn.WEIBULL.DIST(0,2,1,TRUE)</f>
        <v/>
      </c>
    </row>
    <row r="36">
      <c r="A36" t="inlineStr">
        <is>
          <t>case36</t>
        </is>
      </c>
      <c r="B36">
        <f>_xlfn.EXPON.DIST(0,3,TRUE)</f>
        <v/>
      </c>
    </row>
    <row r="37">
      <c r="A37" t="inlineStr">
        <is>
          <t>case37</t>
        </is>
      </c>
      <c r="B37">
        <f>_xlfn.LOGNORM.DIST(1,0,1,TRUE)</f>
        <v/>
      </c>
    </row>
    <row r="38">
      <c r="A38" t="inlineStr">
        <is>
          <t>case38</t>
        </is>
      </c>
      <c r="B38">
        <f>_xlfn.CONFIDENCE.T(0.01,2.5,10)</f>
        <v/>
      </c>
    </row>
    <row r="39">
      <c r="A39" t="inlineStr">
        <is>
          <t>case39</t>
        </is>
      </c>
      <c r="B39">
        <f>_xlfn.Z.TEST(D!B1:B8,8)</f>
        <v/>
      </c>
    </row>
    <row r="40">
      <c r="A40" t="inlineStr">
        <is>
          <t>case40</t>
        </is>
      </c>
      <c r="B40">
        <f>FISHER(-0.5)</f>
        <v/>
      </c>
    </row>
    <row r="41">
      <c r="A41" t="inlineStr">
        <is>
          <t>case41</t>
        </is>
      </c>
      <c r="B41">
        <f>STANDARDIZE(1,0,1)</f>
        <v/>
      </c>
    </row>
    <row r="42">
      <c r="A42" t="inlineStr">
        <is>
          <t>case42</t>
        </is>
      </c>
      <c r="B42">
        <f>SUM(LINEST(D!G1:G5,D!H1:H5))</f>
        <v/>
      </c>
    </row>
    <row r="43">
      <c r="A43" t="inlineStr">
        <is>
          <t>case43</t>
        </is>
      </c>
      <c r="B43">
        <f>INDEX(LINEST(D!G1:G5,D!H1:H8,FALSE),1,1)</f>
        <v/>
      </c>
    </row>
    <row r="44">
      <c r="A44" t="inlineStr">
        <is>
          <t>case44</t>
        </is>
      </c>
      <c r="B44">
        <f>INDEX(TREND(D!G1:G5,D!H1:H5,{6;7}),1,1)</f>
        <v/>
      </c>
    </row>
    <row r="45">
      <c r="A45" t="inlineStr">
        <is>
          <t>case45</t>
        </is>
      </c>
      <c r="B45">
        <f>INDEX(TREND(D!G1:G5,D!H1:H5,{6;7}),2,1)</f>
        <v/>
      </c>
    </row>
    <row r="46">
      <c r="A46" t="inlineStr">
        <is>
          <t>case46</t>
        </is>
      </c>
      <c r="B46">
        <f>INDEX(TREND(D!G1:G5),3,1)</f>
        <v/>
      </c>
    </row>
    <row r="47">
      <c r="A47" t="inlineStr">
        <is>
          <t>case47</t>
        </is>
      </c>
      <c r="B47">
        <f>INDEX(GROWTH(D!G1:G5,D!H1:H5,{6}),1,1)</f>
        <v/>
      </c>
    </row>
    <row r="48">
      <c r="A48" t="inlineStr">
        <is>
          <t>case48</t>
        </is>
      </c>
      <c r="B48">
        <f>INDEX(LINEST(D!G1:G5,D!H1:I5),1,1)</f>
        <v/>
      </c>
    </row>
    <row r="49">
      <c r="A49" t="inlineStr">
        <is>
          <t>case49</t>
        </is>
      </c>
      <c r="B49">
        <f>INDEX(LINEST(D!G1:G5,D!H1:I5),1,2)</f>
        <v/>
      </c>
    </row>
    <row r="50">
      <c r="A50" t="inlineStr">
        <is>
          <t>case50</t>
        </is>
      </c>
      <c r="B50">
        <f>INDEX(LINEST(D!G1:G5,D!H1:I5),1,3)</f>
        <v/>
      </c>
    </row>
    <row r="51">
      <c r="A51" t="inlineStr">
        <is>
          <t>case51</t>
        </is>
      </c>
      <c r="B51">
        <f>INDEX(TREND(D!G1:G5,D!H1:I5,D!H1:I5),2,1)</f>
        <v/>
      </c>
    </row>
    <row r="52">
      <c r="A52" t="inlineStr">
        <is>
          <t>case52</t>
        </is>
      </c>
      <c r="B52">
        <f>COUNTIF(D!A1:A8,"&gt;=5")</f>
        <v/>
      </c>
    </row>
    <row r="53">
      <c r="A53" t="inlineStr">
        <is>
          <t>case53</t>
        </is>
      </c>
      <c r="B53">
        <f>COUNTIF(D!C1:C4,"&lt;&gt;a")</f>
        <v/>
      </c>
    </row>
    <row r="54">
      <c r="A54" t="inlineStr">
        <is>
          <t>case54</t>
        </is>
      </c>
      <c r="B54">
        <f>COUNTIF(D!C1:C4,"a*")</f>
        <v/>
      </c>
    </row>
    <row r="55">
      <c r="A55" t="inlineStr">
        <is>
          <t>case55</t>
        </is>
      </c>
      <c r="B55">
        <f>COUNTIF(D!E1:E5,"")</f>
        <v/>
      </c>
    </row>
    <row r="56">
      <c r="A56" t="inlineStr">
        <is>
          <t>case56</t>
        </is>
      </c>
      <c r="B56">
        <f>COUNTBLANK(D!C1:C8)</f>
        <v/>
      </c>
    </row>
    <row r="57">
      <c r="A57" t="inlineStr">
        <is>
          <t>case57</t>
        </is>
      </c>
      <c r="B57">
        <f>AVERAGEIF(D!A1:A8,"&gt;100")</f>
        <v/>
      </c>
    </row>
    <row r="58">
      <c r="A58" t="inlineStr">
        <is>
          <t>case58</t>
        </is>
      </c>
      <c r="B58">
        <f>_xlfn.MAXIFS(D!A1:A8,D!A1:A8,"&gt;100")</f>
        <v/>
      </c>
    </row>
    <row r="59">
      <c r="A59" t="inlineStr">
        <is>
          <t>case59</t>
        </is>
      </c>
      <c r="B59">
        <f>_xlfn.MINIFS(D!A1:A8,D!A1:A8,"&gt;100")</f>
        <v/>
      </c>
    </row>
    <row r="60">
      <c r="A60" t="inlineStr">
        <is>
          <t>case60</t>
        </is>
      </c>
      <c r="B60">
        <f>SMALL(D!A1:A8,1)</f>
        <v/>
      </c>
    </row>
    <row r="61">
      <c r="A61" t="inlineStr">
        <is>
          <t>case61</t>
        </is>
      </c>
      <c r="B61">
        <f>LARGE(D!A1:A8,8)</f>
        <v/>
      </c>
    </row>
    <row r="62">
      <c r="A62" t="inlineStr">
        <is>
          <t>case62</t>
        </is>
      </c>
      <c r="B62">
        <f>MEDIAN(1,2,3,4)</f>
        <v/>
      </c>
    </row>
    <row r="63">
      <c r="A63" t="inlineStr">
        <is>
          <t>case63</t>
        </is>
      </c>
      <c r="B63">
        <f>_xlfn.MODE.MULT(1,2,2,3,3)</f>
        <v/>
      </c>
    </row>
    <row r="64">
      <c r="A64" t="inlineStr">
        <is>
          <t>case64</t>
        </is>
      </c>
      <c r="B64">
        <f>_xlfn.QUARTILE.INC(D!A1:A8,0)</f>
        <v/>
      </c>
    </row>
    <row r="65">
      <c r="A65" t="inlineStr">
        <is>
          <t>case65</t>
        </is>
      </c>
      <c r="B65">
        <f>_xlfn.QUARTILE.INC(D!A1:A8,4)</f>
        <v/>
      </c>
    </row>
    <row r="66">
      <c r="A66" t="inlineStr">
        <is>
          <t>case66</t>
        </is>
      </c>
      <c r="B66">
        <f>_xlfn.PERCENTILE.INC(D!A1:A8,0)</f>
        <v/>
      </c>
    </row>
    <row r="67">
      <c r="A67" t="inlineStr">
        <is>
          <t>case67</t>
        </is>
      </c>
      <c r="B67">
        <f>_xlfn.PERCENTILE.INC(D!A1:A8,1)</f>
        <v/>
      </c>
    </row>
    <row r="68">
      <c r="A68" t="inlineStr">
        <is>
          <t>case68</t>
        </is>
      </c>
      <c r="B68">
        <f>_xlfn.PERCENTRANK.INC(D!A1:A8,3)</f>
        <v/>
      </c>
    </row>
    <row r="69">
      <c r="A69" t="inlineStr">
        <is>
          <t>case69</t>
        </is>
      </c>
      <c r="B69">
        <f>_xlfn.PERCENTRANK.INC(D!A1:A8,11)</f>
        <v/>
      </c>
    </row>
    <row r="70">
      <c r="A70" t="inlineStr">
        <is>
          <t>case70</t>
        </is>
      </c>
      <c r="B70">
        <f>SKEW(1,2,3,4,5)</f>
        <v/>
      </c>
    </row>
    <row r="71">
      <c r="A71" t="inlineStr">
        <is>
          <t>case71</t>
        </is>
      </c>
      <c r="B71">
        <f>KURT(1,2,3,4,5)</f>
        <v/>
      </c>
    </row>
    <row r="72">
      <c r="A72" t="inlineStr">
        <is>
          <t>case72</t>
        </is>
      </c>
      <c r="B72">
        <f>GEOMEAN(1,2,3,4)</f>
        <v/>
      </c>
    </row>
    <row r="73">
      <c r="A73" t="inlineStr">
        <is>
          <t>case73</t>
        </is>
      </c>
      <c r="B73">
        <f>HARMEAN(1,2,3,4)</f>
        <v/>
      </c>
    </row>
    <row r="74">
      <c r="A74" t="inlineStr">
        <is>
          <t>case74</t>
        </is>
      </c>
      <c r="B74">
        <f>TRIMMEAN({1,2,3,4,5,6,7,8,9,10},0.2)</f>
        <v/>
      </c>
    </row>
    <row r="75">
      <c r="A75" t="inlineStr">
        <is>
          <t>case75</t>
        </is>
      </c>
      <c r="B75">
        <f>AVEDEV(1,2,3,4)</f>
        <v/>
      </c>
    </row>
    <row r="76">
      <c r="A76" t="inlineStr">
        <is>
          <t>case76</t>
        </is>
      </c>
      <c r="B76">
        <f>DEVSQ(1,2,3,4)</f>
        <v/>
      </c>
    </row>
    <row r="77">
      <c r="A77" t="inlineStr">
        <is>
          <t>case77</t>
        </is>
      </c>
      <c r="B77">
        <f>_xlfn.VAR.S(1,2)</f>
        <v/>
      </c>
    </row>
    <row r="78">
      <c r="A78" t="inlineStr">
        <is>
          <t>case78</t>
        </is>
      </c>
      <c r="B78">
        <f>_xlfn.VAR.P(1)</f>
        <v/>
      </c>
    </row>
    <row r="79">
      <c r="A79" t="inlineStr">
        <is>
          <t>case79</t>
        </is>
      </c>
      <c r="B79">
        <f>_xlfn.STDEV.S(1,2,3)</f>
        <v/>
      </c>
    </row>
    <row r="80">
      <c r="A80" t="inlineStr">
        <is>
          <t>case80</t>
        </is>
      </c>
      <c r="B80">
        <f>_xlfn.COVARIANCE.P({1,2,3},{4,5,7})</f>
        <v/>
      </c>
    </row>
    <row r="81">
      <c r="A81" t="inlineStr">
        <is>
          <t>case81</t>
        </is>
      </c>
      <c r="B81">
        <f>CORREL({1,2,3},{4,5,7})</f>
        <v/>
      </c>
    </row>
    <row r="82">
      <c r="A82" t="inlineStr">
        <is>
          <t>case82</t>
        </is>
      </c>
      <c r="B82">
        <f>RSQ({1,2,3},{4,5,7})</f>
        <v/>
      </c>
    </row>
    <row r="83">
      <c r="A83" t="inlineStr">
        <is>
          <t>case83</t>
        </is>
      </c>
      <c r="B83">
        <f>SLOPE({1,2,3},{4,5,7})</f>
        <v/>
      </c>
    </row>
    <row r="84">
      <c r="A84" t="inlineStr">
        <is>
          <t>case84</t>
        </is>
      </c>
      <c r="B84">
        <f>INTERCEPT({1,2,3},{4,5,7})</f>
        <v/>
      </c>
    </row>
    <row r="85">
      <c r="A85" t="inlineStr">
        <is>
          <t>case85</t>
        </is>
      </c>
      <c r="B85">
        <f>_xlfn.FORECAST.LINEAR(4,{1,2,3},{4,5,7})</f>
        <v/>
      </c>
    </row>
    <row r="86">
      <c r="A86" t="inlineStr">
        <is>
          <t>case86</t>
        </is>
      </c>
      <c r="B86">
        <f>PROB({0,1,2,3},{0.2,0.3,0.1,0.4},1,3)</f>
        <v/>
      </c>
    </row>
    <row r="87">
      <c r="A87" t="inlineStr">
        <is>
          <t>case87</t>
        </is>
      </c>
      <c r="B87">
        <f>INDEX(FREQUENCY({1,2,3,4,5,6},{2,4}),2,1)</f>
        <v/>
      </c>
    </row>
    <row r="88">
      <c r="A88" t="inlineStr">
        <is>
          <t>case88</t>
        </is>
      </c>
      <c r="B88">
        <f>_xlfn.T.TEST(D!A1:A8,D!B1:B8,2,2)</f>
        <v/>
      </c>
    </row>
    <row r="89">
      <c r="A89" t="inlineStr">
        <is>
          <t>case89</t>
        </is>
      </c>
      <c r="B89">
        <f>_xlfn.T.TEST(D!A1:A8,D!B1:B8,2,3)</f>
        <v/>
      </c>
    </row>
    <row r="90">
      <c r="A90" t="inlineStr">
        <is>
          <t>case90</t>
        </is>
      </c>
      <c r="B90">
        <f>_xlfn.F.TEST(D!A1:A8,D!B1:B8)</f>
        <v/>
      </c>
    </row>
    <row r="91">
      <c r="A91" t="inlineStr">
        <is>
          <t>case91</t>
        </is>
      </c>
      <c r="B91">
        <f>_xlfn.CHISQ.TEST({10,20,30},{15,20,25})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2026-08-27T23:29:59Z</dcterms:created>
  <dcterms:modified xsi:type="dcterms:W3CDTF">2026-08-27T23:29:59Z</dcterms:modified>
</cp:coreProperties>
</file>