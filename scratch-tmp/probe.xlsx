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" sheetId="1" state="visible" r:id="rId1"/>
    <sheet name="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inlineStr">
        <is>
          <t>a</t>
        </is>
      </c>
      <c r="D1" t="n">
        <v>1</v>
      </c>
      <c r="E1" t="n">
        <v>10</v>
      </c>
      <c r="G1" t="n">
        <v>2.1</v>
      </c>
      <c r="H1" t="n">
        <v>1</v>
      </c>
      <c r="I1" t="n">
        <v>3</v>
      </c>
      <c r="J1" t="n">
        <v>6</v>
      </c>
    </row>
    <row r="2">
      <c r="A2" t="n">
        <v>5</v>
      </c>
      <c r="B2" t="n">
        <v>4</v>
      </c>
      <c r="C2" t="inlineStr">
        <is>
          <t>b</t>
        </is>
      </c>
      <c r="D2" t="n">
        <v>2</v>
      </c>
      <c r="E2" t="inlineStr">
        <is>
          <t>x</t>
        </is>
      </c>
      <c r="G2" t="n">
        <v>4.3</v>
      </c>
      <c r="H2" t="n">
        <v>2</v>
      </c>
      <c r="I2" t="n">
        <v>1</v>
      </c>
      <c r="J2" t="n">
        <v>9</v>
      </c>
    </row>
    <row r="3">
      <c r="A3" t="n">
        <v>8</v>
      </c>
      <c r="B3" t="n">
        <v>6</v>
      </c>
      <c r="C3" t="inlineStr">
        <is>
          <t>a</t>
        </is>
      </c>
      <c r="D3" t="n">
        <v>3</v>
      </c>
      <c r="E3" t="b">
        <v>1</v>
      </c>
      <c r="G3" t="n">
        <v>5.9</v>
      </c>
      <c r="H3" t="n">
        <v>3</v>
      </c>
      <c r="I3" t="n">
        <v>4</v>
      </c>
      <c r="J3" t="n">
        <v>4</v>
      </c>
    </row>
    <row r="4">
      <c r="A4" t="n">
        <v>7</v>
      </c>
      <c r="B4" t="n">
        <v>8</v>
      </c>
      <c r="C4" t="inlineStr">
        <is>
          <t>c</t>
        </is>
      </c>
      <c r="D4" t="n">
        <v>4</v>
      </c>
      <c r="E4" t="inlineStr"/>
      <c r="G4" t="n">
        <v>8.4</v>
      </c>
      <c r="H4" t="n">
        <v>4</v>
      </c>
      <c r="I4" t="n">
        <v>1</v>
      </c>
      <c r="J4" t="n">
        <v>8</v>
      </c>
    </row>
    <row r="5">
      <c r="A5" t="n">
        <v>11</v>
      </c>
      <c r="B5" t="n">
        <v>10</v>
      </c>
      <c r="D5" t="n">
        <v>5</v>
      </c>
      <c r="E5" t="n">
        <v>20</v>
      </c>
      <c r="G5" t="n">
        <v>10.1</v>
      </c>
      <c r="H5" t="n">
        <v>5</v>
      </c>
      <c r="I5" t="n">
        <v>5</v>
      </c>
      <c r="J5" t="n">
        <v>7</v>
      </c>
    </row>
    <row r="6">
      <c r="A6" t="n">
        <v>4</v>
      </c>
      <c r="B6" t="n">
        <v>12</v>
      </c>
      <c r="D6" t="n">
        <v>6</v>
      </c>
      <c r="J6" t="n">
        <v>5</v>
      </c>
    </row>
    <row r="7">
      <c r="A7" t="n">
        <v>3</v>
      </c>
      <c r="B7" t="n">
        <v>14</v>
      </c>
      <c r="D7" t="n">
        <v>7</v>
      </c>
    </row>
    <row r="8">
      <c r="A8" t="n">
        <v>9</v>
      </c>
      <c r="B8" t="n">
        <v>16</v>
      </c>
      <c r="D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case1</t>
        </is>
      </c>
      <c r="B1">
        <f>AVERAGE(D!A1:A8)</f>
        <v/>
      </c>
    </row>
    <row r="2">
      <c r="A2" t="inlineStr">
        <is>
          <t>case2</t>
        </is>
      </c>
      <c r="B2">
        <f>AVERAGEA(D!E1:E5)</f>
        <v/>
      </c>
    </row>
    <row r="3">
      <c r="A3" t="inlineStr">
        <is>
          <t>case3</t>
        </is>
      </c>
      <c r="B3">
        <f>AVERAGE(D!E1:E5)</f>
        <v/>
      </c>
    </row>
    <row r="4">
      <c r="A4" t="inlineStr">
        <is>
          <t>case4</t>
        </is>
      </c>
      <c r="B4">
        <f>COUNT(D!E1:E5)</f>
        <v/>
      </c>
    </row>
    <row r="5">
      <c r="A5" t="inlineStr">
        <is>
          <t>case5</t>
        </is>
      </c>
      <c r="B5">
        <f>COUNTA(D!E1:E5)</f>
        <v/>
      </c>
    </row>
    <row r="6">
      <c r="A6" t="inlineStr">
        <is>
          <t>case6</t>
        </is>
      </c>
      <c r="B6">
        <f>COUNTBLANK(D!E1:E8)</f>
        <v/>
      </c>
    </row>
    <row r="7">
      <c r="A7" t="inlineStr">
        <is>
          <t>case7</t>
        </is>
      </c>
      <c r="B7">
        <f>COUNT(1,)</f>
        <v/>
      </c>
    </row>
    <row r="8">
      <c r="A8" t="inlineStr">
        <is>
          <t>case8</t>
        </is>
      </c>
      <c r="B8">
        <f>COUNTA(1,)</f>
        <v/>
      </c>
    </row>
    <row r="9">
      <c r="A9" t="inlineStr">
        <is>
          <t>case9</t>
        </is>
      </c>
      <c r="B9">
        <f>COUNTA("")</f>
        <v/>
      </c>
    </row>
    <row r="10">
      <c r="A10" t="inlineStr">
        <is>
          <t>case10</t>
        </is>
      </c>
      <c r="B10">
        <f>COUNT("3")</f>
        <v/>
      </c>
    </row>
    <row r="11">
      <c r="A11" t="inlineStr">
        <is>
          <t>case11</t>
        </is>
      </c>
      <c r="B11">
        <f>COUNT(TRUE)</f>
        <v/>
      </c>
    </row>
    <row r="12">
      <c r="A12" t="inlineStr">
        <is>
          <t>case12</t>
        </is>
      </c>
      <c r="B12">
        <f>COUNTA(D!F1:F5)</f>
        <v/>
      </c>
    </row>
    <row r="13">
      <c r="A13" t="inlineStr">
        <is>
          <t>case13</t>
        </is>
      </c>
      <c r="B13">
        <f>MAX(D!A1:A8)</f>
        <v/>
      </c>
    </row>
    <row r="14">
      <c r="A14" t="inlineStr">
        <is>
          <t>case14</t>
        </is>
      </c>
      <c r="B14">
        <f>MIN(D!A1:A8)</f>
        <v/>
      </c>
    </row>
    <row r="15">
      <c r="A15" t="inlineStr">
        <is>
          <t>case15</t>
        </is>
      </c>
      <c r="B15">
        <f>MAXA(D!E1:E5)</f>
        <v/>
      </c>
    </row>
    <row r="16">
      <c r="A16" t="inlineStr">
        <is>
          <t>case16</t>
        </is>
      </c>
      <c r="B16">
        <f>MINA(D!E1:E5)</f>
        <v/>
      </c>
    </row>
    <row r="17">
      <c r="A17" t="inlineStr">
        <is>
          <t>case17</t>
        </is>
      </c>
      <c r="B17">
        <f>MEDIAN(D!A1:A8)</f>
        <v/>
      </c>
    </row>
    <row r="18">
      <c r="A18" t="inlineStr">
        <is>
          <t>case18</t>
        </is>
      </c>
      <c r="B18">
        <f>MEDIAN(D!A1:A7)</f>
        <v/>
      </c>
    </row>
    <row r="19">
      <c r="A19" t="inlineStr">
        <is>
          <t>case19</t>
        </is>
      </c>
      <c r="B19">
        <f>_xlfn.MODE.SNGL(D!A1:A8)</f>
        <v/>
      </c>
    </row>
    <row r="20">
      <c r="A20" t="inlineStr">
        <is>
          <t>case20</t>
        </is>
      </c>
      <c r="B20">
        <f>_xlfn.MODE.SNGL(D!D1:D8)</f>
        <v/>
      </c>
    </row>
    <row r="21">
      <c r="A21" t="inlineStr">
        <is>
          <t>case21</t>
        </is>
      </c>
      <c r="B21">
        <f>LARGE(D!A1:A8,3)</f>
        <v/>
      </c>
    </row>
    <row r="22">
      <c r="A22" t="inlineStr">
        <is>
          <t>case22</t>
        </is>
      </c>
      <c r="B22">
        <f>SMALL(D!A1:A8,3)</f>
        <v/>
      </c>
    </row>
    <row r="23">
      <c r="A23" t="inlineStr">
        <is>
          <t>case23</t>
        </is>
      </c>
      <c r="B23">
        <f>_xlfn.RANK.EQ(4,D!A1:A8)</f>
        <v/>
      </c>
    </row>
    <row r="24">
      <c r="A24" t="inlineStr">
        <is>
          <t>case24</t>
        </is>
      </c>
      <c r="B24">
        <f>_xlfn.RANK.EQ(4,D!A1:A8,1)</f>
        <v/>
      </c>
    </row>
    <row r="25">
      <c r="A25" t="inlineStr">
        <is>
          <t>case25</t>
        </is>
      </c>
      <c r="B25">
        <f>_xlfn.RANK.AVG(4,D!A1:A8)</f>
        <v/>
      </c>
    </row>
    <row r="26">
      <c r="A26" t="inlineStr">
        <is>
          <t>case26</t>
        </is>
      </c>
      <c r="B26">
        <f>_xlfn.PERCENTILE.INC(D!A1:A8,0.25)</f>
        <v/>
      </c>
    </row>
    <row r="27">
      <c r="A27" t="inlineStr">
        <is>
          <t>case27</t>
        </is>
      </c>
      <c r="B27">
        <f>_xlfn.PERCENTILE.EXC(D!A1:A8,0.25)</f>
        <v/>
      </c>
    </row>
    <row r="28">
      <c r="A28" t="inlineStr">
        <is>
          <t>case28</t>
        </is>
      </c>
      <c r="B28">
        <f>_xlfn.QUARTILE.INC(D!A1:A8,1)</f>
        <v/>
      </c>
    </row>
    <row r="29">
      <c r="A29" t="inlineStr">
        <is>
          <t>case29</t>
        </is>
      </c>
      <c r="B29">
        <f>_xlfn.QUARTILE.EXC(D!A1:A8,1)</f>
        <v/>
      </c>
    </row>
    <row r="30">
      <c r="A30" t="inlineStr">
        <is>
          <t>case30</t>
        </is>
      </c>
      <c r="B30">
        <f>_xlfn.PERCENTRANK.INC(D!A1:A8,7)</f>
        <v/>
      </c>
    </row>
    <row r="31">
      <c r="A31" t="inlineStr">
        <is>
          <t>case31</t>
        </is>
      </c>
      <c r="B31">
        <f>_xlfn.PERCENTRANK.EXC(D!A1:A8,7)</f>
        <v/>
      </c>
    </row>
    <row r="32">
      <c r="A32" t="inlineStr">
        <is>
          <t>case32</t>
        </is>
      </c>
      <c r="B32">
        <f>_xlfn.PERCENTRANK.INC(D!A1:A8,6)</f>
        <v/>
      </c>
    </row>
    <row r="33">
      <c r="A33" t="inlineStr">
        <is>
          <t>case33</t>
        </is>
      </c>
      <c r="B33">
        <f>_xlfn.PERCENTRANK.INC(D!A1:A8,3,5)</f>
        <v/>
      </c>
    </row>
    <row r="34">
      <c r="A34" t="inlineStr">
        <is>
          <t>case34</t>
        </is>
      </c>
      <c r="B34">
        <f>_xlfn.STDEV.S(D!A1:A8)</f>
        <v/>
      </c>
    </row>
    <row r="35">
      <c r="A35" t="inlineStr">
        <is>
          <t>case35</t>
        </is>
      </c>
      <c r="B35">
        <f>_xlfn.STDEV.P(D!A1:A8)</f>
        <v/>
      </c>
    </row>
    <row r="36">
      <c r="A36" t="inlineStr">
        <is>
          <t>case36</t>
        </is>
      </c>
      <c r="B36">
        <f>STDEVA(D!E1:E5)</f>
        <v/>
      </c>
    </row>
    <row r="37">
      <c r="A37" t="inlineStr">
        <is>
          <t>case37</t>
        </is>
      </c>
      <c r="B37">
        <f>STDEVPA(D!E1:E5)</f>
        <v/>
      </c>
    </row>
    <row r="38">
      <c r="A38" t="inlineStr">
        <is>
          <t>case38</t>
        </is>
      </c>
      <c r="B38">
        <f>_xlfn.VAR.S(D!A1:A8)</f>
        <v/>
      </c>
    </row>
    <row r="39">
      <c r="A39" t="inlineStr">
        <is>
          <t>case39</t>
        </is>
      </c>
      <c r="B39">
        <f>_xlfn.VAR.P(D!A1:A8)</f>
        <v/>
      </c>
    </row>
    <row r="40">
      <c r="A40" t="inlineStr">
        <is>
          <t>case40</t>
        </is>
      </c>
      <c r="B40">
        <f>VARA(D!E1:E5)</f>
        <v/>
      </c>
    </row>
    <row r="41">
      <c r="A41" t="inlineStr">
        <is>
          <t>case41</t>
        </is>
      </c>
      <c r="B41">
        <f>VARPA(D!E1:E5)</f>
        <v/>
      </c>
    </row>
    <row r="42">
      <c r="A42" t="inlineStr">
        <is>
          <t>case42</t>
        </is>
      </c>
      <c r="B42">
        <f>DEVSQ(D!A1:A8)</f>
        <v/>
      </c>
    </row>
    <row r="43">
      <c r="A43" t="inlineStr">
        <is>
          <t>case43</t>
        </is>
      </c>
      <c r="B43">
        <f>AVEDEV(D!A1:A8)</f>
        <v/>
      </c>
    </row>
    <row r="44">
      <c r="A44" t="inlineStr">
        <is>
          <t>case44</t>
        </is>
      </c>
      <c r="B44">
        <f>GEOMEAN(D!A1:A8)</f>
        <v/>
      </c>
    </row>
    <row r="45">
      <c r="A45" t="inlineStr">
        <is>
          <t>case45</t>
        </is>
      </c>
      <c r="B45">
        <f>HARMEAN(D!A1:A8)</f>
        <v/>
      </c>
    </row>
    <row r="46">
      <c r="A46" t="inlineStr">
        <is>
          <t>case46</t>
        </is>
      </c>
      <c r="B46">
        <f>TRIMMEAN(D!A1:A8,0.25)</f>
        <v/>
      </c>
    </row>
    <row r="47">
      <c r="A47" t="inlineStr">
        <is>
          <t>case47</t>
        </is>
      </c>
      <c r="B47">
        <f>STANDARDIZE(7,5,2)</f>
        <v/>
      </c>
    </row>
    <row r="48">
      <c r="A48" t="inlineStr">
        <is>
          <t>case48</t>
        </is>
      </c>
      <c r="B48">
        <f>SKEW(D!A1:A8)</f>
        <v/>
      </c>
    </row>
    <row r="49">
      <c r="A49" t="inlineStr">
        <is>
          <t>case49</t>
        </is>
      </c>
      <c r="B49">
        <f>_xlfn.SKEW.P(D!A1:A8)</f>
        <v/>
      </c>
    </row>
    <row r="50">
      <c r="A50" t="inlineStr">
        <is>
          <t>case50</t>
        </is>
      </c>
      <c r="B50">
        <f>KURT(D!A1:A8)</f>
        <v/>
      </c>
    </row>
    <row r="51">
      <c r="A51" t="inlineStr">
        <is>
          <t>case51</t>
        </is>
      </c>
      <c r="B51">
        <f>COUNTIF(D!C1:C4,"a")</f>
        <v/>
      </c>
    </row>
    <row r="52">
      <c r="A52" t="inlineStr">
        <is>
          <t>case52</t>
        </is>
      </c>
      <c r="B52">
        <f>COUNTIFS(D!C1:C4,"a",D!A1:A4,"&gt;4")</f>
        <v/>
      </c>
    </row>
    <row r="53">
      <c r="A53" t="inlineStr">
        <is>
          <t>case53</t>
        </is>
      </c>
      <c r="B53">
        <f>AVERAGEIF(D!A1:A8,"&gt;4")</f>
        <v/>
      </c>
    </row>
    <row r="54">
      <c r="A54" t="inlineStr">
        <is>
          <t>case54</t>
        </is>
      </c>
      <c r="B54">
        <f>AVERAGEIF(D!C1:C4,"a",D!A1:A4)</f>
        <v/>
      </c>
    </row>
    <row r="55">
      <c r="A55" t="inlineStr">
        <is>
          <t>case55</t>
        </is>
      </c>
      <c r="B55">
        <f>AVERAGEIFS(D!A1:A8,D!A1:A8,"&gt;4")</f>
        <v/>
      </c>
    </row>
    <row r="56">
      <c r="A56" t="inlineStr">
        <is>
          <t>case56</t>
        </is>
      </c>
      <c r="B56">
        <f>_xlfn.MAXIFS(D!A1:A8,D!B1:B8,"&gt;6")</f>
        <v/>
      </c>
    </row>
    <row r="57">
      <c r="A57" t="inlineStr">
        <is>
          <t>case57</t>
        </is>
      </c>
      <c r="B57">
        <f>_xlfn.MINIFS(D!A1:A8,D!B1:B8,"&gt;6")</f>
        <v/>
      </c>
    </row>
    <row r="58">
      <c r="A58" t="inlineStr">
        <is>
          <t>case58</t>
        </is>
      </c>
      <c r="B58">
        <f>_xlfn.COVARIANCE.P(D!G1:G5,D!H1:H5)</f>
        <v/>
      </c>
    </row>
    <row r="59">
      <c r="A59" t="inlineStr">
        <is>
          <t>case59</t>
        </is>
      </c>
      <c r="B59">
        <f>_xlfn.COVARIANCE.S(D!G1:G5,D!H1:H5)</f>
        <v/>
      </c>
    </row>
    <row r="60">
      <c r="A60" t="inlineStr">
        <is>
          <t>case60</t>
        </is>
      </c>
      <c r="B60">
        <f>CORREL(D!G1:G5,D!H1:H5)</f>
        <v/>
      </c>
    </row>
    <row r="61">
      <c r="A61" t="inlineStr">
        <is>
          <t>case61</t>
        </is>
      </c>
      <c r="B61">
        <f>PEARSON(D!G1:G5,D!H1:H5)</f>
        <v/>
      </c>
    </row>
    <row r="62">
      <c r="A62" t="inlineStr">
        <is>
          <t>case62</t>
        </is>
      </c>
      <c r="B62">
        <f>RSQ(D!G1:G5,D!H1:H5)</f>
        <v/>
      </c>
    </row>
    <row r="63">
      <c r="A63" t="inlineStr">
        <is>
          <t>case63</t>
        </is>
      </c>
      <c r="B63">
        <f>SLOPE(D!G1:G5,D!H1:H5)</f>
        <v/>
      </c>
    </row>
    <row r="64">
      <c r="A64" t="inlineStr">
        <is>
          <t>case64</t>
        </is>
      </c>
      <c r="B64">
        <f>INTERCEPT(D!G1:G5,D!H1:H5)</f>
        <v/>
      </c>
    </row>
    <row r="65">
      <c r="A65" t="inlineStr">
        <is>
          <t>case65</t>
        </is>
      </c>
      <c r="B65">
        <f>_xlfn.FORECAST.LINEAR(6,D!G1:G5,D!H1:H5)</f>
        <v/>
      </c>
    </row>
    <row r="66">
      <c r="A66" t="inlineStr">
        <is>
          <t>case66</t>
        </is>
      </c>
      <c r="B66">
        <f>SUM(TREND(D!G1:G5,D!H1:H5,D!H1:H5))</f>
        <v/>
      </c>
    </row>
    <row r="67">
      <c r="A67" t="inlineStr">
        <is>
          <t>case67</t>
        </is>
      </c>
      <c r="B67">
        <f>SUM(GROWTH(D!G1:G5,D!H1:H5,D!H1:H5))</f>
        <v/>
      </c>
    </row>
    <row r="68">
      <c r="A68" t="inlineStr">
        <is>
          <t>case68</t>
        </is>
      </c>
      <c r="B68">
        <f>INDEX(LINEST(D!G1:G5,D!H1:H5),1,1)</f>
        <v/>
      </c>
    </row>
    <row r="69">
      <c r="A69" t="inlineStr">
        <is>
          <t>case69</t>
        </is>
      </c>
      <c r="B69">
        <f>INDEX(LINEST(D!G1:G5,D!H1:H5),1,2)</f>
        <v/>
      </c>
    </row>
    <row r="70">
      <c r="A70" t="inlineStr">
        <is>
          <t>case70</t>
        </is>
      </c>
      <c r="B70">
        <f>INDEX(LINEST(D!G1:G5,D!H1:H5,TRUE,TRUE),2,1)</f>
        <v/>
      </c>
    </row>
    <row r="71">
      <c r="A71" t="inlineStr">
        <is>
          <t>case71</t>
        </is>
      </c>
      <c r="B71">
        <f>INDEX(LINEST(D!G1:G5,D!H1:H5,TRUE,TRUE),3,1)</f>
        <v/>
      </c>
    </row>
    <row r="72">
      <c r="A72" t="inlineStr">
        <is>
          <t>case72</t>
        </is>
      </c>
      <c r="B72">
        <f>INDEX(LINEST(D!G1:G5,D!H1:H5,TRUE,TRUE),3,2)</f>
        <v/>
      </c>
    </row>
    <row r="73">
      <c r="A73" t="inlineStr">
        <is>
          <t>case73</t>
        </is>
      </c>
      <c r="B73">
        <f>INDEX(LINEST(D!G1:G5,D!H1:H5,TRUE,TRUE),4,1)</f>
        <v/>
      </c>
    </row>
    <row r="74">
      <c r="A74" t="inlineStr">
        <is>
          <t>case74</t>
        </is>
      </c>
      <c r="B74">
        <f>INDEX(LINEST(D!G1:G5,D!H1:H5,TRUE,TRUE),4,2)</f>
        <v/>
      </c>
    </row>
    <row r="75">
      <c r="A75" t="inlineStr">
        <is>
          <t>case75</t>
        </is>
      </c>
      <c r="B75">
        <f>INDEX(LINEST(D!G1:G5,D!H1:H5,TRUE,TRUE),5,1)</f>
        <v/>
      </c>
    </row>
    <row r="76">
      <c r="A76" t="inlineStr">
        <is>
          <t>case76</t>
        </is>
      </c>
      <c r="B76">
        <f>INDEX(LINEST(D!G1:G5,D!H1:H5,TRUE,TRUE),5,2)</f>
        <v/>
      </c>
    </row>
    <row r="77">
      <c r="A77" t="inlineStr">
        <is>
          <t>case77</t>
        </is>
      </c>
      <c r="B77">
        <f>INDEX(FREQUENCY(D!A1:A8,{4,8}),1,1)</f>
        <v/>
      </c>
    </row>
    <row r="78">
      <c r="A78" t="inlineStr">
        <is>
          <t>case78</t>
        </is>
      </c>
      <c r="B78">
        <f>INDEX(FREQUENCY(D!A1:A8,{4,8}),2,1)</f>
        <v/>
      </c>
    </row>
    <row r="79">
      <c r="A79" t="inlineStr">
        <is>
          <t>case79</t>
        </is>
      </c>
      <c r="B79">
        <f>INDEX(FREQUENCY(D!A1:A8,{4,8}),3,1)</f>
        <v/>
      </c>
    </row>
    <row r="80">
      <c r="A80" t="inlineStr">
        <is>
          <t>case80</t>
        </is>
      </c>
      <c r="B80">
        <f>PROB({1,2,3,4},{0.1,0.2,0.3,0.4},2,3)</f>
        <v/>
      </c>
    </row>
    <row r="81">
      <c r="A81" t="inlineStr">
        <is>
          <t>case81</t>
        </is>
      </c>
      <c r="B81">
        <f>PROB({1,2,3,4},{0.1,0.2,0.3,0.4},2)</f>
        <v/>
      </c>
    </row>
    <row r="82">
      <c r="A82" t="inlineStr">
        <is>
          <t>case82</t>
        </is>
      </c>
      <c r="B82">
        <f>_xlfn.NORM.DIST(1.5,0,1,TRUE)</f>
        <v/>
      </c>
    </row>
    <row r="83">
      <c r="A83" t="inlineStr">
        <is>
          <t>case83</t>
        </is>
      </c>
      <c r="B83">
        <f>_xlfn.NORM.DIST(1.5,0,1,FALSE)</f>
        <v/>
      </c>
    </row>
    <row r="84">
      <c r="A84" t="inlineStr">
        <is>
          <t>case84</t>
        </is>
      </c>
      <c r="B84">
        <f>_xlfn.NORM.DIST(42,40,1.5,TRUE)</f>
        <v/>
      </c>
    </row>
    <row r="85">
      <c r="A85" t="inlineStr">
        <is>
          <t>case85</t>
        </is>
      </c>
      <c r="B85">
        <f>_xlfn.NORM.INV(0.908789,40,1.5)</f>
        <v/>
      </c>
    </row>
    <row r="86">
      <c r="A86" t="inlineStr">
        <is>
          <t>case86</t>
        </is>
      </c>
      <c r="B86">
        <f>_xlfn.NORM.S.DIST(1.333333,TRUE)</f>
        <v/>
      </c>
    </row>
    <row r="87">
      <c r="A87" t="inlineStr">
        <is>
          <t>case87</t>
        </is>
      </c>
      <c r="B87">
        <f>_xlfn.NORM.S.DIST(-3,TRUE)</f>
        <v/>
      </c>
    </row>
    <row r="88">
      <c r="A88" t="inlineStr">
        <is>
          <t>case88</t>
        </is>
      </c>
      <c r="B88">
        <f>_xlfn.NORM.S.DIST(1.333333,FALSE)</f>
        <v/>
      </c>
    </row>
    <row r="89">
      <c r="A89" t="inlineStr">
        <is>
          <t>case89</t>
        </is>
      </c>
      <c r="B89">
        <f>_xlfn.NORM.S.INV(0.908789)</f>
        <v/>
      </c>
    </row>
    <row r="90">
      <c r="A90" t="inlineStr">
        <is>
          <t>case90</t>
        </is>
      </c>
      <c r="B90">
        <f>_xlfn.NORM.S.INV(0.0000001)</f>
        <v/>
      </c>
    </row>
    <row r="91">
      <c r="A91" t="inlineStr">
        <is>
          <t>case91</t>
        </is>
      </c>
      <c r="B91">
        <f>_xlfn.LOGNORM.DIST(4,3.5,1.2,TRUE)</f>
        <v/>
      </c>
    </row>
    <row r="92">
      <c r="A92" t="inlineStr">
        <is>
          <t>case92</t>
        </is>
      </c>
      <c r="B92">
        <f>_xlfn.LOGNORM.DIST(4,3.5,1.2,FALSE)</f>
        <v/>
      </c>
    </row>
    <row r="93">
      <c r="A93" t="inlineStr">
        <is>
          <t>case93</t>
        </is>
      </c>
      <c r="B93">
        <f>_xlfn.LOGNORM.INV(0.039084,3.5,1.2)</f>
        <v/>
      </c>
    </row>
    <row r="94">
      <c r="A94" t="inlineStr">
        <is>
          <t>case94</t>
        </is>
      </c>
      <c r="B94">
        <f>_xlfn.PHI(0.75)</f>
        <v/>
      </c>
    </row>
    <row r="95">
      <c r="A95" t="inlineStr">
        <is>
          <t>case95</t>
        </is>
      </c>
      <c r="B95">
        <f>_xlfn.GAUSS(2)</f>
        <v/>
      </c>
    </row>
    <row r="96">
      <c r="A96" t="inlineStr">
        <is>
          <t>case96</t>
        </is>
      </c>
      <c r="B96">
        <f>_xlfn.CONFIDENCE.NORM(0.05,2.5,50)</f>
        <v/>
      </c>
    </row>
    <row r="97">
      <c r="A97" t="inlineStr">
        <is>
          <t>case97</t>
        </is>
      </c>
      <c r="B97">
        <f>_xlfn.CONFIDENCE.T(0.05,1,50)</f>
        <v/>
      </c>
    </row>
    <row r="98">
      <c r="A98" t="inlineStr">
        <is>
          <t>case98</t>
        </is>
      </c>
      <c r="B98">
        <f>_xlfn.T.DIST(60,1,TRUE)</f>
        <v/>
      </c>
    </row>
    <row r="99">
      <c r="A99" t="inlineStr">
        <is>
          <t>case99</t>
        </is>
      </c>
      <c r="B99">
        <f>_xlfn.T.DIST(-1.5,10,TRUE)</f>
        <v/>
      </c>
    </row>
    <row r="100">
      <c r="A100" t="inlineStr">
        <is>
          <t>case100</t>
        </is>
      </c>
      <c r="B100">
        <f>_xlfn.T.DIST(1.5,10,FALSE)</f>
        <v/>
      </c>
    </row>
    <row r="101">
      <c r="A101" t="inlineStr">
        <is>
          <t>case101</t>
        </is>
      </c>
      <c r="B101">
        <f>_xlfn.T.DIST.2T(1.96,60)</f>
        <v/>
      </c>
    </row>
    <row r="102">
      <c r="A102" t="inlineStr">
        <is>
          <t>case102</t>
        </is>
      </c>
      <c r="B102">
        <f>_xlfn.T.DIST.RT(1.96,60)</f>
        <v/>
      </c>
    </row>
    <row r="103">
      <c r="A103" t="inlineStr">
        <is>
          <t>case103</t>
        </is>
      </c>
      <c r="B103">
        <f>_xlfn.T.INV(0.75,2)</f>
        <v/>
      </c>
    </row>
    <row r="104">
      <c r="A104" t="inlineStr">
        <is>
          <t>case104</t>
        </is>
      </c>
      <c r="B104">
        <f>_xlfn.T.INV(0.05,10)</f>
        <v/>
      </c>
    </row>
    <row r="105">
      <c r="A105" t="inlineStr">
        <is>
          <t>case105</t>
        </is>
      </c>
      <c r="B105">
        <f>_xlfn.T.INV.2T(0.05,10)</f>
        <v/>
      </c>
    </row>
    <row r="106">
      <c r="A106" t="inlineStr">
        <is>
          <t>case106</t>
        </is>
      </c>
      <c r="B106">
        <f>_xlfn.F.DIST(15.2069,6,4,TRUE)</f>
        <v/>
      </c>
    </row>
    <row r="107">
      <c r="A107" t="inlineStr">
        <is>
          <t>case107</t>
        </is>
      </c>
      <c r="B107">
        <f>_xlfn.F.DIST(15.2069,6,4,FALSE)</f>
        <v/>
      </c>
    </row>
    <row r="108">
      <c r="A108" t="inlineStr">
        <is>
          <t>case108</t>
        </is>
      </c>
      <c r="B108">
        <f>_xlfn.F.DIST.RT(15.2069,6,4)</f>
        <v/>
      </c>
    </row>
    <row r="109">
      <c r="A109" t="inlineStr">
        <is>
          <t>case109</t>
        </is>
      </c>
      <c r="B109">
        <f>_xlfn.F.INV(0.01,6,4)</f>
        <v/>
      </c>
    </row>
    <row r="110">
      <c r="A110" t="inlineStr">
        <is>
          <t>case110</t>
        </is>
      </c>
      <c r="B110">
        <f>_xlfn.F.INV.RT(0.01,6,4)</f>
        <v/>
      </c>
    </row>
    <row r="111">
      <c r="A111" t="inlineStr">
        <is>
          <t>case111</t>
        </is>
      </c>
      <c r="B111">
        <f>_xlfn.CHISQ.DIST(0.5,1,TRUE)</f>
        <v/>
      </c>
    </row>
    <row r="112">
      <c r="A112" t="inlineStr">
        <is>
          <t>case112</t>
        </is>
      </c>
      <c r="B112">
        <f>_xlfn.CHISQ.DIST(0.5,1,FALSE)</f>
        <v/>
      </c>
    </row>
    <row r="113">
      <c r="A113" t="inlineStr">
        <is>
          <t>case113</t>
        </is>
      </c>
      <c r="B113">
        <f>_xlfn.CHISQ.DIST.RT(18.307,10)</f>
        <v/>
      </c>
    </row>
    <row r="114">
      <c r="A114" t="inlineStr">
        <is>
          <t>case114</t>
        </is>
      </c>
      <c r="B114">
        <f>_xlfn.CHISQ.INV(0.93,1)</f>
        <v/>
      </c>
    </row>
    <row r="115">
      <c r="A115" t="inlineStr">
        <is>
          <t>case115</t>
        </is>
      </c>
      <c r="B115">
        <f>_xlfn.CHISQ.INV.RT(0.05,10)</f>
        <v/>
      </c>
    </row>
    <row r="116">
      <c r="A116" t="inlineStr">
        <is>
          <t>case116</t>
        </is>
      </c>
      <c r="B116">
        <f>_xlfn.BINOM.DIST(6,10,0.5,FALSE)</f>
        <v/>
      </c>
    </row>
    <row r="117">
      <c r="A117" t="inlineStr">
        <is>
          <t>case117</t>
        </is>
      </c>
      <c r="B117">
        <f>_xlfn.BINOM.DIST(6,10,0.5,TRUE)</f>
        <v/>
      </c>
    </row>
    <row r="118">
      <c r="A118" t="inlineStr">
        <is>
          <t>case118</t>
        </is>
      </c>
      <c r="B118">
        <f>_xlfn.BINOM.DIST(60,100,0.5,TRUE)</f>
        <v/>
      </c>
    </row>
    <row r="119">
      <c r="A119" t="inlineStr">
        <is>
          <t>case119</t>
        </is>
      </c>
      <c r="B119">
        <f>_xlfn.BINOM.INV(6,0.5,0.75)</f>
        <v/>
      </c>
    </row>
    <row r="120">
      <c r="A120" t="inlineStr">
        <is>
          <t>case120</t>
        </is>
      </c>
      <c r="B120">
        <f>_xlfn.BINOM.INV(100,0.3,0.95)</f>
        <v/>
      </c>
    </row>
    <row r="121">
      <c r="A121" t="inlineStr">
        <is>
          <t>case121</t>
        </is>
      </c>
      <c r="B121">
        <f>_xlfn.NEGBINOM.DIST(10,5,0.25,FALSE)</f>
        <v/>
      </c>
    </row>
    <row r="122">
      <c r="A122" t="inlineStr">
        <is>
          <t>case122</t>
        </is>
      </c>
      <c r="B122">
        <f>_xlfn.NEGBINOM.DIST(10,5,0.25,TRUE)</f>
        <v/>
      </c>
    </row>
    <row r="123">
      <c r="A123" t="inlineStr">
        <is>
          <t>case123</t>
        </is>
      </c>
      <c r="B123">
        <f>_xlfn.POISSON.DIST(2,5,FALSE)</f>
        <v/>
      </c>
    </row>
    <row r="124">
      <c r="A124" t="inlineStr">
        <is>
          <t>case124</t>
        </is>
      </c>
      <c r="B124">
        <f>_xlfn.POISSON.DIST(2,5,TRUE)</f>
        <v/>
      </c>
    </row>
    <row r="125">
      <c r="A125" t="inlineStr">
        <is>
          <t>case125</t>
        </is>
      </c>
      <c r="B125">
        <f>_xlfn.HYPGEOM.DIST(1,4,8,20,FALSE)</f>
        <v/>
      </c>
    </row>
    <row r="126">
      <c r="A126" t="inlineStr">
        <is>
          <t>case126</t>
        </is>
      </c>
      <c r="B126">
        <f>_xlfn.HYPGEOM.DIST(1,4,8,20,TRUE)</f>
        <v/>
      </c>
    </row>
    <row r="127">
      <c r="A127" t="inlineStr">
        <is>
          <t>case127</t>
        </is>
      </c>
      <c r="B127">
        <f>_xlfn.EXPON.DIST(0.2,10,TRUE)</f>
        <v/>
      </c>
    </row>
    <row r="128">
      <c r="A128" t="inlineStr">
        <is>
          <t>case128</t>
        </is>
      </c>
      <c r="B128">
        <f>_xlfn.EXPON.DIST(0.2,10,FALSE)</f>
        <v/>
      </c>
    </row>
    <row r="129">
      <c r="A129" t="inlineStr">
        <is>
          <t>case129</t>
        </is>
      </c>
      <c r="B129">
        <f>_xlfn.WEIBULL.DIST(105,20,100,TRUE)</f>
        <v/>
      </c>
    </row>
    <row r="130">
      <c r="A130" t="inlineStr">
        <is>
          <t>case130</t>
        </is>
      </c>
      <c r="B130">
        <f>_xlfn.WEIBULL.DIST(105,20,100,FALSE)</f>
        <v/>
      </c>
    </row>
    <row r="131">
      <c r="A131" t="inlineStr">
        <is>
          <t>case131</t>
        </is>
      </c>
      <c r="B131">
        <f>_xlfn.GAMMA.DIST(10,9,2,TRUE)</f>
        <v/>
      </c>
    </row>
    <row r="132">
      <c r="A132" t="inlineStr">
        <is>
          <t>case132</t>
        </is>
      </c>
      <c r="B132">
        <f>_xlfn.GAMMA.DIST(10,9,2,FALSE)</f>
        <v/>
      </c>
    </row>
    <row r="133">
      <c r="A133" t="inlineStr">
        <is>
          <t>case133</t>
        </is>
      </c>
      <c r="B133">
        <f>_xlfn.GAMMA.INV(0.068094,9,2)</f>
        <v/>
      </c>
    </row>
    <row r="134">
      <c r="A134" t="inlineStr">
        <is>
          <t>case134</t>
        </is>
      </c>
      <c r="B134">
        <f>_xlfn.BETA.DIST(2,8,10,TRUE,1,3)</f>
        <v/>
      </c>
    </row>
    <row r="135">
      <c r="A135" t="inlineStr">
        <is>
          <t>case135</t>
        </is>
      </c>
      <c r="B135">
        <f>_xlfn.BETA.DIST(2,8,10,FALSE,1,3)</f>
        <v/>
      </c>
    </row>
    <row r="136">
      <c r="A136" t="inlineStr">
        <is>
          <t>case136</t>
        </is>
      </c>
      <c r="B136">
        <f>_xlfn.BETA.INV(0.6854706,8,10,1,3)</f>
        <v/>
      </c>
    </row>
    <row r="137">
      <c r="A137" t="inlineStr">
        <is>
          <t>case137</t>
        </is>
      </c>
      <c r="B137">
        <f>_xlfn.GAMMA(2.5)</f>
        <v/>
      </c>
    </row>
    <row r="138">
      <c r="A138" t="inlineStr">
        <is>
          <t>case138</t>
        </is>
      </c>
      <c r="B138">
        <f>_xlfn.GAMMA(-3.75)</f>
        <v/>
      </c>
    </row>
    <row r="139">
      <c r="A139" t="inlineStr">
        <is>
          <t>case139</t>
        </is>
      </c>
      <c r="B139">
        <f>GAMMALN(4.5)</f>
        <v/>
      </c>
    </row>
    <row r="140">
      <c r="A140" t="inlineStr">
        <is>
          <t>case140</t>
        </is>
      </c>
      <c r="B140">
        <f>FISHER(0.75)</f>
        <v/>
      </c>
    </row>
    <row r="141">
      <c r="A141" t="inlineStr">
        <is>
          <t>case141</t>
        </is>
      </c>
      <c r="B141">
        <f>FISHERINV(0.972955)</f>
        <v/>
      </c>
    </row>
    <row r="142">
      <c r="A142" t="inlineStr">
        <is>
          <t>case142</t>
        </is>
      </c>
      <c r="B142">
        <f>ERF(0.745)</f>
        <v/>
      </c>
    </row>
    <row r="143">
      <c r="A143" t="inlineStr">
        <is>
          <t>case143</t>
        </is>
      </c>
      <c r="B143">
        <f>ERF(1,2)</f>
        <v/>
      </c>
    </row>
    <row r="144">
      <c r="A144" t="inlineStr">
        <is>
          <t>case144</t>
        </is>
      </c>
      <c r="B144">
        <f>ERFC(1)</f>
        <v/>
      </c>
    </row>
    <row r="145">
      <c r="A145" t="inlineStr">
        <is>
          <t>case145</t>
        </is>
      </c>
      <c r="B145">
        <f>ERFC(-1)</f>
        <v/>
      </c>
    </row>
    <row r="146">
      <c r="A146" t="inlineStr">
        <is>
          <t>case146</t>
        </is>
      </c>
      <c r="B146">
        <f>_xlfn.Z.TEST(D!A1:A8,4)</f>
        <v/>
      </c>
    </row>
    <row r="147">
      <c r="A147" t="inlineStr">
        <is>
          <t>case147</t>
        </is>
      </c>
      <c r="B147">
        <f>_xlfn.Z.TEST(D!A1:A8,4,1)</f>
        <v/>
      </c>
    </row>
    <row r="148">
      <c r="A148" t="inlineStr">
        <is>
          <t>case148</t>
        </is>
      </c>
      <c r="B148">
        <f>_xlfn.T.TEST(D!A1:A5,D!G1:G5,2,1)</f>
        <v/>
      </c>
    </row>
    <row r="149">
      <c r="A149" t="inlineStr">
        <is>
          <t>case149</t>
        </is>
      </c>
      <c r="B149">
        <f>_xlfn.T.TEST(D!A1:A5,D!G1:G5,1,2)</f>
        <v/>
      </c>
    </row>
    <row r="150">
      <c r="A150" t="inlineStr">
        <is>
          <t>case150</t>
        </is>
      </c>
      <c r="B150">
        <f>_xlfn.T.TEST(D!A1:A5,D!G1:G5,2,3)</f>
        <v/>
      </c>
    </row>
    <row r="151">
      <c r="A151" t="inlineStr">
        <is>
          <t>case151</t>
        </is>
      </c>
      <c r="B151">
        <f>_xlfn.F.TEST(D!A1:A5,D!G1:G5)</f>
        <v/>
      </c>
    </row>
    <row r="152">
      <c r="A152" t="inlineStr">
        <is>
          <t>case152</t>
        </is>
      </c>
      <c r="B152">
        <f>_xlfn.CHISQ.TEST({58,35;11,25},{45.35,47.65;17.65,18.35})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2026-08-27T23:29:11Z</dcterms:created>
  <dcterms:modified xsi:type="dcterms:W3CDTF">2026-08-27T23:29:11Z</dcterms:modified>
</cp:coreProperties>
</file>