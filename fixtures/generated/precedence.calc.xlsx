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ecedenc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<sst xmlns="http://schemas.openxmlformats.org/spreadsheetml/2006/main" count="115" uniqueCount="114">
  <si>
    <t xml:space="preserve">case</t>
  </si>
  <si>
    <t xml:space="preserve">text</t>
  </si>
  <si>
    <t xml:space="preserve">result</t>
  </si>
  <si>
    <t xml:space="preserve">pow_assoc</t>
  </si>
  <si>
    <t xml:space="preserve">'=2^3^2</t>
  </si>
  <si>
    <t xml:space="preserve">unary_pow</t>
  </si>
  <si>
    <t xml:space="preserve">'=-2^2</t>
  </si>
  <si>
    <t xml:space="preserve">unary_pow_paren</t>
  </si>
  <si>
    <t xml:space="preserve">'=-(2^2)</t>
  </si>
  <si>
    <t xml:space="preserve">pow_then_mul</t>
  </si>
  <si>
    <t xml:space="preserve">'=2*3^2</t>
  </si>
  <si>
    <t xml:space="preserve">percent_pow</t>
  </si>
  <si>
    <t xml:space="preserve">'=2^2%</t>
  </si>
  <si>
    <t xml:space="preserve">unary_chain</t>
  </si>
  <si>
    <t xml:space="preserve">'=--3</t>
  </si>
  <si>
    <t xml:space="preserve">mul_div_left</t>
  </si>
  <si>
    <t xml:space="preserve">'=100/10/2</t>
  </si>
  <si>
    <t xml:space="preserve">sub_left</t>
  </si>
  <si>
    <t xml:space="preserve">'=10-3-2</t>
  </si>
  <si>
    <t xml:space="preserve">concat_vs_compare</t>
  </si>
  <si>
    <t xml:space="preserve">'="a"&amp;"b"="ab"</t>
  </si>
  <si>
    <t xml:space="preserve">compare_lowest</t>
  </si>
  <si>
    <t xml:space="preserve">'=1+1=2</t>
  </si>
  <si>
    <t xml:space="preserve">neg_percent</t>
  </si>
  <si>
    <t xml:space="preserve">'=-50%</t>
  </si>
  <si>
    <t xml:space="preserve">percent_of_sum</t>
  </si>
  <si>
    <t xml:space="preserve">'=(1+1)%</t>
  </si>
  <si>
    <t xml:space="preserve">float_add</t>
  </si>
  <si>
    <t xml:space="preserve">'=0.1+0.2</t>
  </si>
  <si>
    <t xml:space="preserve">float_eq</t>
  </si>
  <si>
    <t xml:space="preserve">'=0.1+0.2=0.3</t>
  </si>
  <si>
    <t xml:space="preserve">float_cancel</t>
  </si>
  <si>
    <t xml:space="preserve">'=(0.5-0.4-0.1)</t>
  </si>
  <si>
    <t xml:space="preserve">float_cancel_eq</t>
  </si>
  <si>
    <t xml:space="preserve">'=(0.5-0.4-0.1)=0</t>
  </si>
  <si>
    <t xml:space="preserve">big_int</t>
  </si>
  <si>
    <t xml:space="preserve">'=9007199254740993</t>
  </si>
  <si>
    <t xml:space="preserve">sig15</t>
  </si>
  <si>
    <t xml:space="preserve">'=1/3</t>
  </si>
  <si>
    <t xml:space="preserve">round_half</t>
  </si>
  <si>
    <t xml:space="preserve">'=ROUND(2.5,0)</t>
  </si>
  <si>
    <t xml:space="preserve">round_half_neg</t>
  </si>
  <si>
    <t xml:space="preserve">'=ROUND(-2.5,0)</t>
  </si>
  <si>
    <t xml:space="preserve">banker_check</t>
  </si>
  <si>
    <t xml:space="preserve">'=ROUND(0.5,0)</t>
  </si>
  <si>
    <t xml:space="preserve">text_num_add</t>
  </si>
  <si>
    <t xml:space="preserve">'="1"+1</t>
  </si>
  <si>
    <t xml:space="preserve">bool_add</t>
  </si>
  <si>
    <t xml:space="preserve">'=TRUE+1</t>
  </si>
  <si>
    <t xml:space="preserve">bool_compare</t>
  </si>
  <si>
    <t xml:space="preserve">'=TRUE&gt;1</t>
  </si>
  <si>
    <t xml:space="preserve">text_gt_num</t>
  </si>
  <si>
    <t xml:space="preserve">'="a"&gt;1</t>
  </si>
  <si>
    <t xml:space="preserve">blank_add</t>
  </si>
  <si>
    <t xml:space="preserve">'=Z99+1</t>
  </si>
  <si>
    <t xml:space="preserve">blank_concat</t>
  </si>
  <si>
    <t xml:space="preserve">'=Z99&amp;"x"</t>
  </si>
  <si>
    <t xml:space="preserve">empty_compare</t>
  </si>
  <si>
    <t xml:space="preserve">'=Z99=""</t>
  </si>
  <si>
    <t xml:space="preserve">empty_zero</t>
  </si>
  <si>
    <t xml:space="preserve">'=Z99=0</t>
  </si>
  <si>
    <t xml:space="preserve">third_times3</t>
  </si>
  <si>
    <t xml:space="preserve">'=1/3*3</t>
  </si>
  <si>
    <t xml:space="preserve">third_times3_eq</t>
  </si>
  <si>
    <t xml:space="preserve">'=1/3*3=1</t>
  </si>
  <si>
    <t xml:space="preserve">half_minus_four</t>
  </si>
  <si>
    <t xml:space="preserve">'=0.5-0.4</t>
  </si>
  <si>
    <t xml:space="preserve">half_minus_four_eq</t>
  </si>
  <si>
    <t xml:space="preserve">'=(0.5-0.4)=0.1</t>
  </si>
  <si>
    <t xml:space="preserve">point1_times3</t>
  </si>
  <si>
    <t xml:space="preserve">'=0.1*3</t>
  </si>
  <si>
    <t xml:space="preserve">point1_times3_eq</t>
  </si>
  <si>
    <t xml:space="preserve">'=0.1*3=0.3</t>
  </si>
  <si>
    <t xml:space="preserve">sum_cancel</t>
  </si>
  <si>
    <t xml:space="preserve">'=SUM(0.1,0.2)-0.3</t>
  </si>
  <si>
    <t xml:space="preserve">sum_cancel_eq</t>
  </si>
  <si>
    <t xml:space="preserve">'=SUM(0.1,0.2)-0.3=0</t>
  </si>
  <si>
    <t xml:space="preserve">tiny_lost</t>
  </si>
  <si>
    <t xml:space="preserve">'=1+1E-20-1</t>
  </si>
  <si>
    <t xml:space="preserve">big_cancel</t>
  </si>
  <si>
    <t xml:space="preserve">'=1E20+1-1E20</t>
  </si>
  <si>
    <t xml:space="preserve">seventeen_digits</t>
  </si>
  <si>
    <t xml:space="preserve">'=1.0000000000000002</t>
  </si>
  <si>
    <t xml:space="preserve">seventeen_eq</t>
  </si>
  <si>
    <t xml:space="preserve">'=1.0000000000000002=1</t>
  </si>
  <si>
    <t xml:space="preserve">sixteen_nines</t>
  </si>
  <si>
    <t xml:space="preserve">'=0.9999999999999999</t>
  </si>
  <si>
    <t xml:space="preserve">prod_chain</t>
  </si>
  <si>
    <t xml:space="preserve">'=0.1+0.2-0.3</t>
  </si>
  <si>
    <t xml:space="preserve">prod_chain_eq</t>
  </si>
  <si>
    <t xml:space="preserve">'=(0.1+0.2-0.3)=0</t>
  </si>
  <si>
    <t xml:space="preserve">mul_then_sub</t>
  </si>
  <si>
    <t xml:space="preserve">'=0.3*3-0.9</t>
  </si>
  <si>
    <t xml:space="preserve">div_precision</t>
  </si>
  <si>
    <t xml:space="preserve">div_precision_x3</t>
  </si>
  <si>
    <t xml:space="preserve">'=(1/3)*3</t>
  </si>
  <si>
    <t xml:space="preserve">sqrt_sq</t>
  </si>
  <si>
    <t xml:space="preserve">'=SQRT(2)^2</t>
  </si>
  <si>
    <t xml:space="preserve">sqrt_sq_eq</t>
  </si>
  <si>
    <t xml:space="preserve">'=SQRT(2)^2=2</t>
  </si>
  <si>
    <t xml:space="preserve">amplify_cancel</t>
  </si>
  <si>
    <t xml:space="preserve">'=(0.1+0.2-0.3)*1E20</t>
  </si>
  <si>
    <t xml:space="preserve">amplify_cancel2</t>
  </si>
  <si>
    <t xml:space="preserve">'=(0.5-0.4-0.1)*1E20</t>
  </si>
  <si>
    <t xml:space="preserve">amplify_via_cell</t>
  </si>
  <si>
    <t xml:space="preserve">'=D50*1E20</t>
  </si>
  <si>
    <t xml:space="preserve">inner_residue</t>
  </si>
  <si>
    <t xml:space="preserve">'=ABS(0.1+0.2-0.3)&gt;0</t>
  </si>
  <si>
    <t xml:space="preserve">range_op</t>
  </si>
  <si>
    <t xml:space="preserve">'=SUM(F40:F42)</t>
  </si>
  <si>
    <t xml:space="preserve">intersect_op</t>
  </si>
  <si>
    <t xml:space="preserve">'=SUM(F40:H42 G40:G45)</t>
  </si>
  <si>
    <t xml:space="preserve">union_op</t>
  </si>
  <si>
    <t xml:space="preserve">'=SUM((F40:F41,F42:F43))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</si>
</sst>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n">
        <f aca="false">2^3^2</f>
        <v>64</v>
      </c>
    </row>
    <row r="3" customFormat="false" ht="15" hidden="false" customHeight="false" outlineLevel="0" collapsed="false">
      <c r="A3" s="0" t="s">
        <v>5</v>
      </c>
      <c r="B3" s="0" t="s">
        <v>6</v>
      </c>
      <c r="C3" s="0" t="n">
        <f aca="false">-2^2</f>
        <v>4</v>
      </c>
    </row>
    <row r="4" customFormat="false" ht="15" hidden="false" customHeight="false" outlineLevel="0" collapsed="false">
      <c r="A4" s="0" t="s">
        <v>7</v>
      </c>
      <c r="B4" s="0" t="s">
        <v>8</v>
      </c>
      <c r="C4" s="0" t="n">
        <f aca="false">-(2^2)</f>
        <v>-4</v>
      </c>
    </row>
    <row r="5" customFormat="false" ht="15" hidden="false" customHeight="false" outlineLevel="0" collapsed="false">
      <c r="A5" s="0" t="s">
        <v>9</v>
      </c>
      <c r="B5" s="0" t="s">
        <v>10</v>
      </c>
      <c r="C5" s="0" t="n">
        <f aca="false">2*3^2</f>
        <v>18</v>
      </c>
    </row>
    <row r="6" customFormat="false" ht="15" hidden="false" customHeight="false" outlineLevel="0" collapsed="false">
      <c r="A6" s="0" t="s">
        <v>11</v>
      </c>
      <c r="B6" s="0" t="s">
        <v>12</v>
      </c>
      <c r="C6" s="0" t="n">
        <f aca="false">2^2%</f>
        <v>1.01395947979003</v>
      </c>
    </row>
    <row r="7" customFormat="false" ht="15" hidden="false" customHeight="false" outlineLevel="0" collapsed="false">
      <c r="A7" s="0" t="s">
        <v>13</v>
      </c>
      <c r="B7" s="0" t="s">
        <v>14</v>
      </c>
      <c r="C7" s="0" t="n">
        <f aca="false">--3</f>
        <v>3</v>
      </c>
    </row>
    <row r="8" customFormat="false" ht="15" hidden="false" customHeight="false" outlineLevel="0" collapsed="false">
      <c r="A8" s="0" t="s">
        <v>15</v>
      </c>
      <c r="B8" s="0" t="s">
        <v>16</v>
      </c>
      <c r="C8" s="0" t="n">
        <f aca="false">100/10/2</f>
        <v>5</v>
      </c>
    </row>
    <row r="9" customFormat="false" ht="15" hidden="false" customHeight="false" outlineLevel="0" collapsed="false">
      <c r="A9" s="0" t="s">
        <v>17</v>
      </c>
      <c r="B9" s="0" t="s">
        <v>18</v>
      </c>
      <c r="C9" s="0" t="n">
        <f aca="false">10-3-2</f>
        <v>5</v>
      </c>
    </row>
    <row r="10" customFormat="false" ht="15" hidden="false" customHeight="false" outlineLevel="0" collapsed="false">
      <c r="A10" s="0" t="s">
        <v>19</v>
      </c>
      <c r="B10" s="0" t="s">
        <v>20</v>
      </c>
      <c r="C10" s="1" t="b">
        <f aca="false">"a"&amp;"b"="ab"</f>
        <v>1</v>
      </c>
    </row>
    <row r="11" customFormat="false" ht="15" hidden="false" customHeight="false" outlineLevel="0" collapsed="false">
      <c r="A11" s="0" t="s">
        <v>21</v>
      </c>
      <c r="B11" s="0" t="s">
        <v>22</v>
      </c>
      <c r="C11" s="1" t="b">
        <f aca="false">1+1=2</f>
        <v>1</v>
      </c>
    </row>
    <row r="12" customFormat="false" ht="15" hidden="false" customHeight="false" outlineLevel="0" collapsed="false">
      <c r="A12" s="0" t="s">
        <v>23</v>
      </c>
      <c r="B12" s="0" t="s">
        <v>24</v>
      </c>
      <c r="C12" s="2" t="n">
        <f aca="false">-50%</f>
        <v>-0.5</v>
      </c>
    </row>
    <row r="13" customFormat="false" ht="15" hidden="false" customHeight="false" outlineLevel="0" collapsed="false">
      <c r="A13" s="0" t="s">
        <v>25</v>
      </c>
      <c r="B13" s="0" t="s">
        <v>26</v>
      </c>
      <c r="C13" s="2" t="n">
        <f aca="false">(1+1)%</f>
        <v>0.02</v>
      </c>
    </row>
    <row r="14" customFormat="false" ht="15" hidden="false" customHeight="false" outlineLevel="0" collapsed="false">
      <c r="A14" s="0" t="s">
        <v>27</v>
      </c>
      <c r="B14" s="0" t="s">
        <v>28</v>
      </c>
      <c r="C14" s="0" t="n">
        <f aca="false">0.1+0.2</f>
        <v>0.3</v>
      </c>
    </row>
    <row r="15" customFormat="false" ht="15" hidden="false" customHeight="false" outlineLevel="0" collapsed="false">
      <c r="A15" s="0" t="s">
        <v>29</v>
      </c>
      <c r="B15" s="0" t="s">
        <v>30</v>
      </c>
      <c r="C15" s="1" t="b">
        <f aca="false">0.1+0.2=0.3</f>
        <v>1</v>
      </c>
    </row>
    <row r="16" customFormat="false" ht="15" hidden="false" customHeight="false" outlineLevel="0" collapsed="false">
      <c r="A16" s="0" t="s">
        <v>31</v>
      </c>
      <c r="B16" s="0" t="s">
        <v>32</v>
      </c>
      <c r="C16" s="0" t="n">
        <f aca="false">(0.5-0.4-0.1)</f>
        <v>0</v>
      </c>
    </row>
    <row r="17" customFormat="false" ht="15" hidden="false" customHeight="false" outlineLevel="0" collapsed="false">
      <c r="A17" s="0" t="s">
        <v>33</v>
      </c>
      <c r="B17" s="0" t="s">
        <v>34</v>
      </c>
      <c r="C17" s="1" t="b">
        <f aca="false">(0.5-0.4-0.1)=0</f>
        <v>1</v>
      </c>
    </row>
    <row r="18" customFormat="false" ht="15" hidden="false" customHeight="false" outlineLevel="0" collapsed="false">
      <c r="A18" s="0" t="s">
        <v>35</v>
      </c>
      <c r="B18" s="0" t="s">
        <v>36</v>
      </c>
      <c r="C18" s="0" t="n">
        <f aca="false">9.00719925474099E+015</f>
        <v>9007199254740990</v>
      </c>
    </row>
    <row r="19" customFormat="false" ht="15" hidden="false" customHeight="false" outlineLevel="0" collapsed="false">
      <c r="A19" s="0" t="s">
        <v>37</v>
      </c>
      <c r="B19" s="0" t="s">
        <v>38</v>
      </c>
      <c r="C19" s="0" t="n">
        <f aca="false">1/3</f>
        <v>0.333333333333333</v>
      </c>
    </row>
    <row r="20" customFormat="false" ht="15" hidden="false" customHeight="false" outlineLevel="0" collapsed="false">
      <c r="A20" s="0" t="s">
        <v>39</v>
      </c>
      <c r="B20" s="0" t="s">
        <v>40</v>
      </c>
      <c r="C20" s="0" t="n">
        <f aca="false">ROUND(2.5,0)</f>
        <v>3</v>
      </c>
    </row>
    <row r="21" customFormat="false" ht="15" hidden="false" customHeight="false" outlineLevel="0" collapsed="false">
      <c r="A21" s="0" t="s">
        <v>41</v>
      </c>
      <c r="B21" s="0" t="s">
        <v>42</v>
      </c>
      <c r="C21" s="0" t="n">
        <f aca="false">ROUND(-2.5,0)</f>
        <v>-3</v>
      </c>
    </row>
    <row r="22" customFormat="false" ht="15" hidden="false" customHeight="false" outlineLevel="0" collapsed="false">
      <c r="A22" s="0" t="s">
        <v>43</v>
      </c>
      <c r="B22" s="0" t="s">
        <v>44</v>
      </c>
      <c r="C22" s="0" t="n">
        <f aca="false">ROUND(0.5,0)</f>
        <v>1</v>
      </c>
    </row>
    <row r="23" customFormat="false" ht="15" hidden="false" customHeight="false" outlineLevel="0" collapsed="false">
      <c r="A23" s="0" t="s">
        <v>45</v>
      </c>
      <c r="B23" s="0" t="s">
        <v>46</v>
      </c>
      <c r="C23" s="0" t="n">
        <f aca="false">"1"+1</f>
        <v>2</v>
      </c>
    </row>
    <row r="24" customFormat="false" ht="15" hidden="false" customHeight="false" outlineLevel="0" collapsed="false">
      <c r="A24" s="0" t="s">
        <v>47</v>
      </c>
      <c r="B24" s="0" t="s">
        <v>48</v>
      </c>
      <c r="C24" s="0" t="n">
        <f aca="false">TRUE()+1</f>
        <v>2</v>
      </c>
    </row>
    <row r="25" customFormat="false" ht="15" hidden="false" customHeight="false" outlineLevel="0" collapsed="false">
      <c r="A25" s="0" t="s">
        <v>49</v>
      </c>
      <c r="B25" s="0" t="s">
        <v>50</v>
      </c>
      <c r="C25" s="1" t="b">
        <f aca="false">TRUE()&gt;1</f>
        <v>0</v>
      </c>
    </row>
    <row r="26" customFormat="false" ht="15" hidden="false" customHeight="false" outlineLevel="0" collapsed="false">
      <c r="A26" s="0" t="s">
        <v>51</v>
      </c>
      <c r="B26" s="0" t="s">
        <v>52</v>
      </c>
      <c r="C26" s="1" t="b">
        <f aca="false">"a"&gt;1</f>
        <v>1</v>
      </c>
    </row>
    <row r="27" customFormat="false" ht="15" hidden="false" customHeight="false" outlineLevel="0" collapsed="false">
      <c r="A27" s="0" t="s">
        <v>53</v>
      </c>
      <c r="B27" s="0" t="s">
        <v>54</v>
      </c>
      <c r="C27" s="0" t="n">
        <f aca="false">Z99+1</f>
        <v>1</v>
      </c>
    </row>
    <row r="28" customFormat="false" ht="15" hidden="false" customHeight="false" outlineLevel="0" collapsed="false">
      <c r="A28" s="0" t="s">
        <v>55</v>
      </c>
      <c r="B28" s="0" t="s">
        <v>56</v>
      </c>
      <c r="C28" s="0" t="str">
        <f aca="false">Z99&amp;"x"</f>
        <v>x</v>
      </c>
    </row>
    <row r="29" customFormat="false" ht="15" hidden="false" customHeight="false" outlineLevel="0" collapsed="false">
      <c r="A29" s="0" t="s">
        <v>57</v>
      </c>
      <c r="B29" s="0" t="s">
        <v>58</v>
      </c>
      <c r="C29" s="1" t="b">
        <f aca="false">Z99=""</f>
        <v>1</v>
      </c>
    </row>
    <row r="30" customFormat="false" ht="15" hidden="false" customHeight="false" outlineLevel="0" collapsed="false">
      <c r="A30" s="0" t="s">
        <v>59</v>
      </c>
      <c r="B30" s="0" t="s">
        <v>60</v>
      </c>
      <c r="C30" s="1" t="b">
        <f aca="false">Z99=0</f>
        <v>1</v>
      </c>
    </row>
    <row r="31" customFormat="false" ht="15" hidden="false" customHeight="false" outlineLevel="0" collapsed="false">
      <c r="A31" s="0" t="s">
        <v>61</v>
      </c>
      <c r="B31" s="0" t="s">
        <v>62</v>
      </c>
      <c r="C31" s="0" t="n">
        <f aca="false">1/3*3</f>
        <v>1</v>
      </c>
    </row>
    <row r="32" customFormat="false" ht="15" hidden="false" customHeight="false" outlineLevel="0" collapsed="false">
      <c r="A32" s="0" t="s">
        <v>63</v>
      </c>
      <c r="B32" s="0" t="s">
        <v>64</v>
      </c>
      <c r="C32" s="1" t="b">
        <f aca="false">1/3*3=1</f>
        <v>1</v>
      </c>
    </row>
    <row r="33" customFormat="false" ht="15" hidden="false" customHeight="false" outlineLevel="0" collapsed="false">
      <c r="A33" s="0" t="s">
        <v>65</v>
      </c>
      <c r="B33" s="0" t="s">
        <v>66</v>
      </c>
      <c r="C33" s="0" t="n">
        <f aca="false">0.5-0.4</f>
        <v>0.1</v>
      </c>
    </row>
    <row r="34" customFormat="false" ht="15" hidden="false" customHeight="false" outlineLevel="0" collapsed="false">
      <c r="A34" s="0" t="s">
        <v>67</v>
      </c>
      <c r="B34" s="0" t="s">
        <v>68</v>
      </c>
      <c r="C34" s="1" t="b">
        <f aca="false">(0.5-0.4)=0.1</f>
        <v>1</v>
      </c>
    </row>
    <row r="35" customFormat="false" ht="15" hidden="false" customHeight="false" outlineLevel="0" collapsed="false">
      <c r="A35" s="0" t="s">
        <v>69</v>
      </c>
      <c r="B35" s="0" t="s">
        <v>70</v>
      </c>
      <c r="C35" s="0" t="n">
        <f aca="false">0.1*3</f>
        <v>0.3</v>
      </c>
    </row>
    <row r="36" customFormat="false" ht="15" hidden="false" customHeight="false" outlineLevel="0" collapsed="false">
      <c r="A36" s="0" t="s">
        <v>71</v>
      </c>
      <c r="B36" s="0" t="s">
        <v>72</v>
      </c>
      <c r="C36" s="1" t="b">
        <f aca="false">0.1*3=0.3</f>
        <v>1</v>
      </c>
    </row>
    <row r="37" customFormat="false" ht="15" hidden="false" customHeight="false" outlineLevel="0" collapsed="false">
      <c r="A37" s="0" t="s">
        <v>73</v>
      </c>
      <c r="B37" s="0" t="s">
        <v>74</v>
      </c>
      <c r="C37" s="0" t="n">
        <f aca="false">SUM(0.1,0.2)-0.3</f>
        <v>0</v>
      </c>
    </row>
    <row r="38" customFormat="false" ht="15" hidden="false" customHeight="false" outlineLevel="0" collapsed="false">
      <c r="A38" s="0" t="s">
        <v>75</v>
      </c>
      <c r="B38" s="0" t="s">
        <v>76</v>
      </c>
      <c r="C38" s="1" t="b">
        <f aca="false">SUM(0.1,0.2)-0.3=0</f>
        <v>1</v>
      </c>
    </row>
    <row r="39" customFormat="false" ht="15" hidden="false" customHeight="false" outlineLevel="0" collapsed="false">
      <c r="A39" s="0" t="s">
        <v>77</v>
      </c>
      <c r="B39" s="0" t="s">
        <v>78</v>
      </c>
      <c r="C39" s="0" t="n">
        <f aca="false">1+1E-020-1</f>
        <v>0</v>
      </c>
    </row>
    <row r="40" customFormat="false" ht="15" hidden="false" customHeight="false" outlineLevel="0" collapsed="false">
      <c r="A40" s="0" t="s">
        <v>79</v>
      </c>
      <c r="B40" s="0" t="s">
        <v>80</v>
      </c>
      <c r="C40" s="0" t="n">
        <f aca="false">1E+020+1-1E+020</f>
        <v>0</v>
      </c>
      <c r="F40" s="0" t="n">
        <v>40</v>
      </c>
      <c r="G40" s="0" t="n">
        <v>41</v>
      </c>
      <c r="H40" s="0" t="n">
        <v>42</v>
      </c>
    </row>
    <row r="41" customFormat="false" ht="15" hidden="false" customHeight="false" outlineLevel="0" collapsed="false">
      <c r="A41" s="0" t="s">
        <v>81</v>
      </c>
      <c r="B41" s="0" t="s">
        <v>82</v>
      </c>
      <c r="C41" s="0" t="n">
        <f aca="false">1</f>
        <v>1</v>
      </c>
      <c r="F41" s="0" t="n">
        <v>41</v>
      </c>
      <c r="G41" s="0" t="n">
        <v>42</v>
      </c>
      <c r="H41" s="0" t="n">
        <v>43</v>
      </c>
    </row>
    <row r="42" customFormat="false" ht="15" hidden="false" customHeight="false" outlineLevel="0" collapsed="false">
      <c r="A42" s="0" t="s">
        <v>83</v>
      </c>
      <c r="B42" s="0" t="s">
        <v>84</v>
      </c>
      <c r="C42" s="1" t="b">
        <f aca="false">1=1</f>
        <v>1</v>
      </c>
      <c r="F42" s="0" t="n">
        <v>42</v>
      </c>
      <c r="G42" s="0" t="n">
        <v>43</v>
      </c>
      <c r="H42" s="0" t="n">
        <v>44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0" t="n">
        <f aca="false">1</f>
        <v>1</v>
      </c>
      <c r="F43" s="0" t="n">
        <v>43</v>
      </c>
      <c r="G43" s="0" t="n">
        <v>44</v>
      </c>
      <c r="H43" s="0" t="n">
        <v>45</v>
      </c>
    </row>
    <row r="44" customFormat="false" ht="15" hidden="false" customHeight="false" outlineLevel="0" collapsed="false">
      <c r="A44" s="0" t="s">
        <v>87</v>
      </c>
      <c r="B44" s="0" t="s">
        <v>88</v>
      </c>
      <c r="C44" s="0" t="n">
        <f aca="false">0.1+0.2-0.3</f>
        <v>0</v>
      </c>
      <c r="F44" s="0" t="n">
        <v>44</v>
      </c>
      <c r="G44" s="0" t="n">
        <v>45</v>
      </c>
      <c r="H44" s="0" t="n">
        <v>46</v>
      </c>
    </row>
    <row r="45" customFormat="false" ht="15" hidden="false" customHeight="false" outlineLevel="0" collapsed="false">
      <c r="A45" s="0" t="s">
        <v>89</v>
      </c>
      <c r="B45" s="0" t="s">
        <v>90</v>
      </c>
      <c r="C45" s="1" t="b">
        <f aca="false">(0.1+0.2-0.3)=0</f>
        <v>1</v>
      </c>
      <c r="F45" s="0" t="n">
        <v>45</v>
      </c>
      <c r="G45" s="0" t="n">
        <v>46</v>
      </c>
      <c r="H45" s="0" t="n">
        <v>47</v>
      </c>
    </row>
    <row r="46" customFormat="false" ht="15" hidden="false" customHeight="false" outlineLevel="0" collapsed="false">
      <c r="A46" s="0" t="s">
        <v>91</v>
      </c>
      <c r="B46" s="0" t="s">
        <v>92</v>
      </c>
      <c r="C46" s="0" t="n">
        <f aca="false">0.3*3-0.9</f>
        <v>0</v>
      </c>
    </row>
    <row r="47" customFormat="false" ht="15" hidden="false" customHeight="false" outlineLevel="0" collapsed="false">
      <c r="A47" s="0" t="s">
        <v>93</v>
      </c>
      <c r="B47" s="0" t="s">
        <v>38</v>
      </c>
      <c r="C47" s="0" t="n">
        <f aca="false">1/3</f>
        <v>0.333333333333333</v>
      </c>
    </row>
    <row r="48" customFormat="false" ht="15" hidden="false" customHeight="false" outlineLevel="0" collapsed="false">
      <c r="A48" s="0" t="s">
        <v>94</v>
      </c>
      <c r="B48" s="0" t="s">
        <v>95</v>
      </c>
      <c r="C48" s="0" t="n">
        <f aca="false">(1/3)*3</f>
        <v>1</v>
      </c>
    </row>
    <row r="49" customFormat="false" ht="15" hidden="false" customHeight="false" outlineLevel="0" collapsed="false">
      <c r="A49" s="0" t="s">
        <v>96</v>
      </c>
      <c r="B49" s="0" t="s">
        <v>97</v>
      </c>
      <c r="C49" s="0" t="n">
        <f aca="false">SQRT(2)^2</f>
        <v>2</v>
      </c>
    </row>
    <row r="50" customFormat="false" ht="15" hidden="false" customHeight="false" outlineLevel="0" collapsed="false">
      <c r="A50" s="0" t="s">
        <v>98</v>
      </c>
      <c r="B50" s="0" t="s">
        <v>99</v>
      </c>
      <c r="C50" s="1" t="b">
        <f aca="false">SQRT(2)^2=2</f>
        <v>1</v>
      </c>
      <c r="D50" s="0" t="n">
        <f aca="false">0.1+0.2-0.3</f>
        <v>0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0" t="n">
        <f aca="false">(0.1+0.2-0.3)*1E+020</f>
        <v>0</v>
      </c>
    </row>
    <row r="52" customFormat="false" ht="15" hidden="false" customHeight="false" outlineLevel="0" collapsed="false">
      <c r="A52" s="0" t="s">
        <v>102</v>
      </c>
      <c r="B52" s="0" t="s">
        <v>103</v>
      </c>
      <c r="C52" s="0" t="n">
        <f aca="false">(0.5-0.4-0.1)*1E+020</f>
        <v>0</v>
      </c>
    </row>
    <row r="53" customFormat="false" ht="15" hidden="false" customHeight="false" outlineLevel="0" collapsed="false">
      <c r="A53" s="0" t="s">
        <v>104</v>
      </c>
      <c r="B53" s="0" t="s">
        <v>105</v>
      </c>
      <c r="C53" s="0" t="n">
        <f aca="false">D50*1E+020</f>
        <v>0</v>
      </c>
    </row>
    <row r="54" customFormat="false" ht="15" hidden="false" customHeight="false" outlineLevel="0" collapsed="false">
      <c r="A54" s="0" t="s">
        <v>106</v>
      </c>
      <c r="B54" s="0" t="s">
        <v>107</v>
      </c>
      <c r="C54" s="1" t="b">
        <f aca="false">ABS(0.1+0.2-0.3)&gt;0</f>
        <v>0</v>
      </c>
    </row>
    <row r="55" customFormat="false" ht="15" hidden="false" customHeight="false" outlineLevel="0" collapsed="false">
      <c r="A55" s="0" t="s">
        <v>108</v>
      </c>
      <c r="B55" s="0" t="s">
        <v>109</v>
      </c>
      <c r="C55" s="0" t="n">
        <f aca="false">SUM(F40:F42)</f>
        <v>123</v>
      </c>
    </row>
    <row r="56" customFormat="false" ht="15" hidden="false" customHeight="false" outlineLevel="0" collapsed="false">
      <c r="A56" s="0" t="s">
        <v>110</v>
      </c>
      <c r="B56" s="0" t="s">
        <v>111</v>
      </c>
      <c r="C56" s="0" t="n">
        <f aca="false">SUM(F40:H42 G40:G45)</f>
        <v>126</v>
      </c>
    </row>
    <row r="57" customFormat="false" ht="15" hidden="false" customHeight="false" outlineLevel="0" collapsed="false">
      <c r="A57" s="0" t="s">
        <v>112</v>
      </c>
      <c r="B57" s="0" t="s">
        <v>113</v>
      </c>
      <c r="C57" s="0" t="n">
        <f aca="false">SUM((F40:F41~F42:F43))</f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2026-08-27T22:29:46Z</dcterms:created>
  <dc:creator>openpyxl</dc:creator>
  <dc:description/>
  <dc:language>en-US</dc:language>
  <cp:lastModifiedBy/>
  <dcterms:modified xsi:type="dcterms:W3CDTF">2026-08-27T22:29:46Z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