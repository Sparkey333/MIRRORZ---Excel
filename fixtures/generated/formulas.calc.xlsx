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Formul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<sst xmlns="http://schemas.openxmlformats.org/spreadsheetml/2006/main" count="310" uniqueCount="305">
  <si>
    <t xml:space="preserve">n</t>
  </si>
  <si>
    <t xml:space="preserve">name</t>
  </si>
  <si>
    <t xml:space="preserve">dept</t>
  </si>
  <si>
    <t xml:space="preserve">salary</t>
  </si>
  <si>
    <t xml:space="preserve">hired</t>
  </si>
  <si>
    <t xml:space="preserve">Ada</t>
  </si>
  <si>
    <t xml:space="preserve">Eng</t>
  </si>
  <si>
    <t xml:space="preserve">2019-03-01</t>
  </si>
  <si>
    <t xml:space="preserve">Grace</t>
  </si>
  <si>
    <t xml:space="preserve">2018-07-15</t>
  </si>
  <si>
    <t xml:space="preserve">Katherine</t>
  </si>
  <si>
    <t xml:space="preserve">Science</t>
  </si>
  <si>
    <t xml:space="preserve">2020-01-20</t>
  </si>
  <si>
    <t xml:space="preserve">Dorothy</t>
  </si>
  <si>
    <t xml:space="preserve">2021-11-02</t>
  </si>
  <si>
    <t xml:space="preserve">Margaret</t>
  </si>
  <si>
    <t xml:space="preserve">2017-05-30</t>
  </si>
  <si>
    <t xml:space="preserve">Annie</t>
  </si>
  <si>
    <t xml:space="preserve">Ops</t>
  </si>
  <si>
    <t xml:space="preserve">2022-09-12</t>
  </si>
  <si>
    <t xml:space="preserve">Henrietta</t>
  </si>
  <si>
    <t xml:space="preserve">2023-02-28</t>
  </si>
  <si>
    <t xml:space="preserve">Mary</t>
  </si>
  <si>
    <t xml:space="preserve">2020-06-08</t>
  </si>
  <si>
    <t xml:space="preserve">case</t>
  </si>
  <si>
    <t xml:space="preserve">formula</t>
  </si>
  <si>
    <t xml:space="preserve">result</t>
  </si>
  <si>
    <t xml:space="preserve">SUM</t>
  </si>
  <si>
    <t xml:space="preserve">'=SUM(Data!D2:D9)</t>
  </si>
  <si>
    <t xml:space="preserve">AVERAGE</t>
  </si>
  <si>
    <t xml:space="preserve">'=AVERAGE(Data!D2:D9)</t>
  </si>
  <si>
    <t xml:space="preserve">MIN</t>
  </si>
  <si>
    <t xml:space="preserve">'=MIN(Data!D2:D9)</t>
  </si>
  <si>
    <t xml:space="preserve">MAX</t>
  </si>
  <si>
    <t xml:space="preserve">'=MAX(Data!D2:D9)</t>
  </si>
  <si>
    <t xml:space="preserve">COUNT</t>
  </si>
  <si>
    <t xml:space="preserve">'=COUNT(Data!D2:D9)</t>
  </si>
  <si>
    <t xml:space="preserve">COUNTA</t>
  </si>
  <si>
    <t xml:space="preserve">'=COUNTA(Data!A1:E9)</t>
  </si>
  <si>
    <t xml:space="preserve">COUNTBLANK</t>
  </si>
  <si>
    <t xml:space="preserve">'=COUNTBLANK(Data!A1:E20)</t>
  </si>
  <si>
    <t xml:space="preserve">MEDIAN</t>
  </si>
  <si>
    <t xml:space="preserve">'=MEDIAN(Data!D2:D9)</t>
  </si>
  <si>
    <t xml:space="preserve">STDEV.S</t>
  </si>
  <si>
    <t xml:space="preserve">'=STDEV.S(Data!D2:D9)</t>
  </si>
  <si>
    <t xml:space="preserve">VAR.S</t>
  </si>
  <si>
    <t xml:space="preserve">'=VAR.S(Data!D2:D9)</t>
  </si>
  <si>
    <t xml:space="preserve">SUMIF</t>
  </si>
  <si>
    <t xml:space="preserve">'=SUMIF(Data!C2:C9,"Eng",Data!D2:D9)</t>
  </si>
  <si>
    <t xml:space="preserve">SUMIFS</t>
  </si>
  <si>
    <t xml:space="preserve">'=SUMIFS(Data!D2:D9,Data!C2:C9,"Eng",Data!D2:D9,"&gt;170000")</t>
  </si>
  <si>
    <t xml:space="preserve">COUNTIF</t>
  </si>
  <si>
    <t xml:space="preserve">'=COUNTIF(Data!C2:C9,"Science")</t>
  </si>
  <si>
    <t xml:space="preserve">COUNTIFS</t>
  </si>
  <si>
    <t xml:space="preserve">'=COUNTIFS(Data!C2:C9,"Ops",Data!D2:D9,"&lt;120000")</t>
  </si>
  <si>
    <t xml:space="preserve">AVERAGEIF</t>
  </si>
  <si>
    <t xml:space="preserve">'=AVERAGEIF(Data!C2:C9,"Eng",Data!D2:D9)</t>
  </si>
  <si>
    <t xml:space="preserve">IF</t>
  </si>
  <si>
    <t xml:space="preserve">'=IF(Data!D2&gt;160000,"high","low")</t>
  </si>
  <si>
    <t xml:space="preserve">IFS</t>
  </si>
  <si>
    <t xml:space="preserve">'=IFS(Data!D2&gt;180000,"top",Data!D2&gt;150000,"mid",TRUE,"base")</t>
  </si>
  <si>
    <t xml:space="preserve">AND</t>
  </si>
  <si>
    <t xml:space="preserve">'=AND(1=1,2=2)</t>
  </si>
  <si>
    <t xml:space="preserve">OR</t>
  </si>
  <si>
    <t xml:space="preserve">'=OR(1=2,2=2)</t>
  </si>
  <si>
    <t xml:space="preserve">NOT</t>
  </si>
  <si>
    <t xml:space="preserve">'=NOT(1=2)</t>
  </si>
  <si>
    <t xml:space="preserve">XOR</t>
  </si>
  <si>
    <t xml:space="preserve">'=XOR(TRUE,FALSE)</t>
  </si>
  <si>
    <t xml:space="preserve">IFERROR</t>
  </si>
  <si>
    <t xml:space="preserve">'=IFERROR(1/0,"caught")</t>
  </si>
  <si>
    <t xml:space="preserve">IFNA</t>
  </si>
  <si>
    <t xml:space="preserve">'=IFNA(NA(),"was na")</t>
  </si>
  <si>
    <t xml:space="preserve">VLOOKUP</t>
  </si>
  <si>
    <t xml:space="preserve">'=VLOOKUP(3,Data!A2:D9,2,FALSE)</t>
  </si>
  <si>
    <t xml:space="preserve">HLOOKUP</t>
  </si>
  <si>
    <t xml:space="preserve">'=HLOOKUP("dept",Data!A1:E9,4,FALSE)</t>
  </si>
  <si>
    <t xml:space="preserve">INDEX_MATCH</t>
  </si>
  <si>
    <t xml:space="preserve">'=INDEX(Data!D2:D9,MATCH("Grace",Data!B2:B9,0))</t>
  </si>
  <si>
    <t xml:space="preserve">XLOOKUP</t>
  </si>
  <si>
    <t xml:space="preserve">'=XLOOKUP("Annie",Data!B2:B9,Data!D2:D9,"none")</t>
  </si>
  <si>
    <t xml:space="preserve">XMATCH</t>
  </si>
  <si>
    <t xml:space="preserve">'=XMATCH("Mary",Data!B2:B9,0)</t>
  </si>
  <si>
    <t xml:space="preserve">OFFSET</t>
  </si>
  <si>
    <t xml:space="preserve">'=OFFSET(Data!A1,2,3)</t>
  </si>
  <si>
    <t xml:space="preserve">INDIRECT</t>
  </si>
  <si>
    <t xml:space="preserve">'=INDIRECT("Data!D2")</t>
  </si>
  <si>
    <t xml:space="preserve">CHOOSE</t>
  </si>
  <si>
    <t xml:space="preserve">'=CHOOSE(2,"a","b","c")</t>
  </si>
  <si>
    <t xml:space="preserve">ROW</t>
  </si>
  <si>
    <t xml:space="preserve">'=ROW(Data!A5)</t>
  </si>
  <si>
    <t xml:space="preserve">COLUMN</t>
  </si>
  <si>
    <t xml:space="preserve">'=COLUMN(Data!D1)</t>
  </si>
  <si>
    <t xml:space="preserve">ROWS</t>
  </si>
  <si>
    <t xml:space="preserve">'=ROWS(Data!A1:A9)</t>
  </si>
  <si>
    <t xml:space="preserve">COLUMNS</t>
  </si>
  <si>
    <t xml:space="preserve">'=COLUMNS(Data!A1:E1)</t>
  </si>
  <si>
    <t xml:space="preserve">CONCAT</t>
  </si>
  <si>
    <t xml:space="preserve">'=CONCAT("a","b","c")</t>
  </si>
  <si>
    <t xml:space="preserve">TEXTJOIN</t>
  </si>
  <si>
    <t xml:space="preserve">'=TEXTJOIN("-",TRUE,"x","y","z")</t>
  </si>
  <si>
    <t xml:space="preserve">LEFT</t>
  </si>
  <si>
    <t xml:space="preserve">'=LEFT("spreadsheet",6)</t>
  </si>
  <si>
    <t xml:space="preserve">RIGHT</t>
  </si>
  <si>
    <t xml:space="preserve">'=RIGHT("spreadsheet",5)</t>
  </si>
  <si>
    <t xml:space="preserve">MID</t>
  </si>
  <si>
    <t xml:space="preserve">'=MID("spreadsheet",7,5)</t>
  </si>
  <si>
    <t xml:space="preserve">LEN</t>
  </si>
  <si>
    <t xml:space="preserve">'=LEN("spreadsheet")</t>
  </si>
  <si>
    <t xml:space="preserve">UPPER</t>
  </si>
  <si>
    <t xml:space="preserve">'=UPPER("abc")</t>
  </si>
  <si>
    <t xml:space="preserve">LOWER</t>
  </si>
  <si>
    <t xml:space="preserve">'=LOWER("ABC")</t>
  </si>
  <si>
    <t xml:space="preserve">PROPER</t>
  </si>
  <si>
    <t xml:space="preserve">'=PROPER("hello world")</t>
  </si>
  <si>
    <t xml:space="preserve">TRIM</t>
  </si>
  <si>
    <t xml:space="preserve">'=TRIM("  pad  ")</t>
  </si>
  <si>
    <t xml:space="preserve">SUBSTITUTE</t>
  </si>
  <si>
    <t xml:space="preserve">'=SUBSTITUTE("a-b-c","-","+")</t>
  </si>
  <si>
    <t xml:space="preserve">REPLACE</t>
  </si>
  <si>
    <t xml:space="preserve">'=REPLACE("abcdef",2,3,"XY")</t>
  </si>
  <si>
    <t xml:space="preserve">FIND</t>
  </si>
  <si>
    <t xml:space="preserve">'=FIND("read","spreadsheet")</t>
  </si>
  <si>
    <t xml:space="preserve">SEARCH</t>
  </si>
  <si>
    <t xml:space="preserve">'=SEARCH("READ","spreadsheet")</t>
  </si>
  <si>
    <t xml:space="preserve">TEXT</t>
  </si>
  <si>
    <t xml:space="preserve">'=TEXT(1234.567,"#,##0.00")</t>
  </si>
  <si>
    <t xml:space="preserve">VALUE</t>
  </si>
  <si>
    <t xml:space="preserve">'=VALUE("123.45")</t>
  </si>
  <si>
    <t xml:space="preserve">REPT</t>
  </si>
  <si>
    <t xml:space="preserve">'=REPT("ab",3)</t>
  </si>
  <si>
    <t xml:space="preserve">EXACT</t>
  </si>
  <si>
    <t xml:space="preserve">'=EXACT("a","A")</t>
  </si>
  <si>
    <t xml:space="preserve">ROUND</t>
  </si>
  <si>
    <t xml:space="preserve">'=ROUND(3.14159,2)</t>
  </si>
  <si>
    <t xml:space="preserve">ROUNDUP</t>
  </si>
  <si>
    <t xml:space="preserve">'=ROUNDUP(3.14159,2)</t>
  </si>
  <si>
    <t xml:space="preserve">ROUNDDOWN</t>
  </si>
  <si>
    <t xml:space="preserve">'=ROUNDDOWN(3.14159,2)</t>
  </si>
  <si>
    <t xml:space="preserve">MROUND</t>
  </si>
  <si>
    <t xml:space="preserve">'=MROUND(17,5)</t>
  </si>
  <si>
    <t xml:space="preserve">CEILING.MATH</t>
  </si>
  <si>
    <t xml:space="preserve">'=CEILING.MATH(4.2)</t>
  </si>
  <si>
    <t xml:space="preserve">FLOOR.MATH</t>
  </si>
  <si>
    <t xml:space="preserve">'=FLOOR.MATH(4.8)</t>
  </si>
  <si>
    <t xml:space="preserve">INT</t>
  </si>
  <si>
    <t xml:space="preserve">'=INT(-3.5)</t>
  </si>
  <si>
    <t xml:space="preserve">TRUNC</t>
  </si>
  <si>
    <t xml:space="preserve">'=TRUNC(-3.5)</t>
  </si>
  <si>
    <t xml:space="preserve">ABS</t>
  </si>
  <si>
    <t xml:space="preserve">'=ABS(-7)</t>
  </si>
  <si>
    <t xml:space="preserve">SIGN</t>
  </si>
  <si>
    <t xml:space="preserve">'=SIGN(-7)</t>
  </si>
  <si>
    <t xml:space="preserve">MOD</t>
  </si>
  <si>
    <t xml:space="preserve">'=MOD(-7,3)</t>
  </si>
  <si>
    <t xml:space="preserve">QUOTIENT</t>
  </si>
  <si>
    <t xml:space="preserve">'=QUOTIENT(7,2)</t>
  </si>
  <si>
    <t xml:space="preserve">POWER</t>
  </si>
  <si>
    <t xml:space="preserve">'=POWER(2,10)</t>
  </si>
  <si>
    <t xml:space="preserve">SQRT</t>
  </si>
  <si>
    <t xml:space="preserve">'=SQRT(144)</t>
  </si>
  <si>
    <t xml:space="preserve">EXP</t>
  </si>
  <si>
    <t xml:space="preserve">'=EXP(1)</t>
  </si>
  <si>
    <t xml:space="preserve">LN</t>
  </si>
  <si>
    <t xml:space="preserve">'=LN(EXP(2))</t>
  </si>
  <si>
    <t xml:space="preserve">LOG10</t>
  </si>
  <si>
    <t xml:space="preserve">'=LOG10(1000)</t>
  </si>
  <si>
    <t xml:space="preserve">LOG</t>
  </si>
  <si>
    <t xml:space="preserve">'=LOG(8,2)</t>
  </si>
  <si>
    <t xml:space="preserve">PI</t>
  </si>
  <si>
    <t xml:space="preserve">'=PI()</t>
  </si>
  <si>
    <t xml:space="preserve">SIN</t>
  </si>
  <si>
    <t xml:space="preserve">'=SIN(PI()/2)</t>
  </si>
  <si>
    <t xml:space="preserve">COS</t>
  </si>
  <si>
    <t xml:space="preserve">'=COS(0)</t>
  </si>
  <si>
    <t xml:space="preserve">TAN</t>
  </si>
  <si>
    <t xml:space="preserve">'=TAN(0)</t>
  </si>
  <si>
    <t xml:space="preserve">ATAN2</t>
  </si>
  <si>
    <t xml:space="preserve">'=ATAN2(1,1)</t>
  </si>
  <si>
    <t xml:space="preserve">DEGREES</t>
  </si>
  <si>
    <t xml:space="preserve">'=DEGREES(PI())</t>
  </si>
  <si>
    <t xml:space="preserve">RADIANS</t>
  </si>
  <si>
    <t xml:space="preserve">'=RADIANS(180)</t>
  </si>
  <si>
    <t xml:space="preserve">SUMPRODUCT</t>
  </si>
  <si>
    <t xml:space="preserve">'=SUMPRODUCT(Data!A2:A9,Data!D2:D9)</t>
  </si>
  <si>
    <t xml:space="preserve">SUMSQ</t>
  </si>
  <si>
    <t xml:space="preserve">'=SUMSQ(3,4)</t>
  </si>
  <si>
    <t xml:space="preserve">PRODUCT</t>
  </si>
  <si>
    <t xml:space="preserve">'=PRODUCT(2,3,4)</t>
  </si>
  <si>
    <t xml:space="preserve">GCD</t>
  </si>
  <si>
    <t xml:space="preserve">'=GCD(24,36)</t>
  </si>
  <si>
    <t xml:space="preserve">LCM</t>
  </si>
  <si>
    <t xml:space="preserve">'=LCM(4,6)</t>
  </si>
  <si>
    <t xml:space="preserve">FACT</t>
  </si>
  <si>
    <t xml:space="preserve">'=FACT(6)</t>
  </si>
  <si>
    <t xml:space="preserve">COMBIN</t>
  </si>
  <si>
    <t xml:space="preserve">'=COMBIN(10,3)</t>
  </si>
  <si>
    <t xml:space="preserve">DATE</t>
  </si>
  <si>
    <t xml:space="preserve">'=DATE(2024,2,29)</t>
  </si>
  <si>
    <t xml:space="preserve">YEAR</t>
  </si>
  <si>
    <t xml:space="preserve">'=YEAR(DATE(2024,2,29))</t>
  </si>
  <si>
    <t xml:space="preserve">MONTH</t>
  </si>
  <si>
    <t xml:space="preserve">'=MONTH(DATE(2024,2,29))</t>
  </si>
  <si>
    <t xml:space="preserve">DAY</t>
  </si>
  <si>
    <t xml:space="preserve">'=DAY(DATE(2024,2,29))</t>
  </si>
  <si>
    <t xml:space="preserve">EOMONTH</t>
  </si>
  <si>
    <t xml:space="preserve">'=EOMONTH(DATE(2024,1,15),0)</t>
  </si>
  <si>
    <t xml:space="preserve">EDATE</t>
  </si>
  <si>
    <t xml:space="preserve">'=EDATE(DATE(2024,1,31),1)</t>
  </si>
  <si>
    <t xml:space="preserve">WEEKDAY</t>
  </si>
  <si>
    <t xml:space="preserve">'=WEEKDAY(DATE(2024,3,1))</t>
  </si>
  <si>
    <t xml:space="preserve">WEEKNUM</t>
  </si>
  <si>
    <t xml:space="preserve">'=WEEKNUM(DATE(2024,3,1))</t>
  </si>
  <si>
    <t xml:space="preserve">DATEDIF</t>
  </si>
  <si>
    <t xml:space="preserve">'=DATEDIF(DATE(2020,1,1),DATE(2024,3,1),"m")</t>
  </si>
  <si>
    <t xml:space="preserve">DAYS</t>
  </si>
  <si>
    <t xml:space="preserve">'=DAYS(DATE(2024,3,1),DATE(2024,1,1))</t>
  </si>
  <si>
    <t xml:space="preserve">NETWORKDAYS</t>
  </si>
  <si>
    <t xml:space="preserve">'=NETWORKDAYS(DATE(2024,1,1),DATE(2024,1,31))</t>
  </si>
  <si>
    <t xml:space="preserve">WORKDAY</t>
  </si>
  <si>
    <t xml:space="preserve">'=WORKDAY(DATE(2024,1,1),10)</t>
  </si>
  <si>
    <t xml:space="preserve">TIME</t>
  </si>
  <si>
    <t xml:space="preserve">'=TIME(13,45,30)</t>
  </si>
  <si>
    <t xml:space="preserve">HOUR</t>
  </si>
  <si>
    <t xml:space="preserve">'=HOUR(TIME(13,45,30))</t>
  </si>
  <si>
    <t xml:space="preserve">MINUTE</t>
  </si>
  <si>
    <t xml:space="preserve">'=MINUTE(TIME(13,45,30))</t>
  </si>
  <si>
    <t xml:space="preserve">SECOND</t>
  </si>
  <si>
    <t xml:space="preserve">'=SECOND(TIME(13,45,30))</t>
  </si>
  <si>
    <t xml:space="preserve">PMT</t>
  </si>
  <si>
    <t xml:space="preserve">'=PMT(0.05/12,360,-300000)</t>
  </si>
  <si>
    <t xml:space="preserve">FV</t>
  </si>
  <si>
    <t xml:space="preserve">'=FV(0.05/12,360,-1000)</t>
  </si>
  <si>
    <t xml:space="preserve">PV</t>
  </si>
  <si>
    <t xml:space="preserve">'=PV(0.05/12,360,-1000)</t>
  </si>
  <si>
    <t xml:space="preserve">NPER</t>
  </si>
  <si>
    <t xml:space="preserve">'=NPER(0.05/12,-1000,200000)</t>
  </si>
  <si>
    <t xml:space="preserve">RATE</t>
  </si>
  <si>
    <t xml:space="preserve">'=RATE(360,-1500,250000)</t>
  </si>
  <si>
    <t xml:space="preserve">NPV</t>
  </si>
  <si>
    <t xml:space="preserve">'=NPV(0.1,-100,50,60,70)</t>
  </si>
  <si>
    <t xml:space="preserve">IRR</t>
  </si>
  <si>
    <t xml:space="preserve">'=IRR({-100,50,60,70})</t>
  </si>
  <si>
    <t xml:space="preserve">SLN</t>
  </si>
  <si>
    <t xml:space="preserve">'=SLN(10000,1000,5)</t>
  </si>
  <si>
    <t xml:space="preserve">ISBLANK</t>
  </si>
  <si>
    <t xml:space="preserve">'=ISBLANK(Data!Z1)</t>
  </si>
  <si>
    <t xml:space="preserve">ISNUMBER</t>
  </si>
  <si>
    <t xml:space="preserve">'=ISNUMBER(1)</t>
  </si>
  <si>
    <t xml:space="preserve">ISTEXT</t>
  </si>
  <si>
    <t xml:space="preserve">'=ISTEXT("a")</t>
  </si>
  <si>
    <t xml:space="preserve">ISERROR</t>
  </si>
  <si>
    <t xml:space="preserve">'=ISERROR(1/0)</t>
  </si>
  <si>
    <t xml:space="preserve">ISERR</t>
  </si>
  <si>
    <t xml:space="preserve">'=ISERR(NA())</t>
  </si>
  <si>
    <t xml:space="preserve">ISNA</t>
  </si>
  <si>
    <t xml:space="preserve">'=ISNA(NA())</t>
  </si>
  <si>
    <t xml:space="preserve">ISLOGICAL</t>
  </si>
  <si>
    <t xml:space="preserve">'=ISLOGICAL(TRUE)</t>
  </si>
  <si>
    <t xml:space="preserve">ISEVEN</t>
  </si>
  <si>
    <t xml:space="preserve">'=ISEVEN(4)</t>
  </si>
  <si>
    <t xml:space="preserve">ISODD</t>
  </si>
  <si>
    <t xml:space="preserve">'=ISODD(4)</t>
  </si>
  <si>
    <t xml:space="preserve">N</t>
  </si>
  <si>
    <t xml:space="preserve">'=N(TRUE)</t>
  </si>
  <si>
    <t xml:space="preserve">T</t>
  </si>
  <si>
    <t xml:space="preserve">'=T("txt")</t>
  </si>
  <si>
    <t xml:space="preserve">TYPE</t>
  </si>
  <si>
    <t xml:space="preserve">'=TYPE(1)</t>
  </si>
  <si>
    <t xml:space="preserve">ERR_DIV0</t>
  </si>
  <si>
    <t xml:space="preserve">'=1/0</t>
  </si>
  <si>
    <t xml:space="preserve">ERR_VALUE</t>
  </si>
  <si>
    <t xml:space="preserve">'="a"+1</t>
  </si>
  <si>
    <t xml:space="preserve">ERR_NAME</t>
  </si>
  <si>
    <t xml:space="preserve">'=NOTAFUNCTION(1)</t>
  </si>
  <si>
    <t xml:space="preserve">ERR_REF</t>
  </si>
  <si>
    <t xml:space="preserve">'=SUM(Data!A1:A2)/0</t>
  </si>
  <si>
    <t xml:space="preserve">ARRAY_SUM</t>
  </si>
  <si>
    <t xml:space="preserve">'=SUM({1,2,3;4,5,6})</t>
  </si>
  <si>
    <t xml:space="preserve">NESTED</t>
  </si>
  <si>
    <t xml:space="preserve">'=IF(SUM(Data!D2:D9)&gt;1000000,ROUND(AVERAGE(Data!D2:D9),0),0)</t>
  </si>
  <si>
    <t xml:space="preserve">PCT_RANK</t>
  </si>
  <si>
    <t xml:space="preserve">'=PERCENTILE.INC(Data!D2:D9,0.5)</t>
  </si>
  <si>
    <t xml:space="preserve">RANK</t>
  </si>
  <si>
    <t xml:space="preserve">'=RANK.EQ(Data!D2,Data!D2:D9)</t>
  </si>
  <si>
    <t xml:space="preserve">LARGE</t>
  </si>
  <si>
    <t xml:space="preserve">'=LARGE(Data!D2:D9,2)</t>
  </si>
  <si>
    <t xml:space="preserve">SMALL</t>
  </si>
  <si>
    <t xml:space="preserve">'=SMALL(Data!D2:D9,2)</t>
  </si>
  <si>
    <t xml:space="preserve">ABS_REF</t>
  </si>
  <si>
    <t xml:space="preserve">'=Data!$D$2+1</t>
  </si>
  <si>
    <t xml:space="preserve">RANGE_OP</t>
  </si>
  <si>
    <t xml:space="preserve">'=SUM(Data!D2:D5 Data!D4:D9)</t>
  </si>
  <si>
    <t xml:space="preserve">UNION_OP</t>
  </si>
  <si>
    <t xml:space="preserve">'=SUM(Data!D2:D3,Data!D8:D9)</t>
  </si>
  <si>
    <t xml:space="preserve">PERCENT_LIT</t>
  </si>
  <si>
    <t xml:space="preserve">'=50%</t>
  </si>
  <si>
    <t xml:space="preserve">EXPONENT</t>
  </si>
  <si>
    <t xml:space="preserve">'=2^10</t>
  </si>
  <si>
    <t xml:space="preserve">CONCAT_OP</t>
  </si>
  <si>
    <t xml:space="preserve">'="a"&amp;"b"</t>
  </si>
  <si>
    <t xml:space="preserve">COMPARE</t>
  </si>
  <si>
    <t xml:space="preserve">'=1&lt;2</t>
  </si>
  <si>
    <t xml:space="preserve">UNARY_NEG</t>
  </si>
  <si>
    <t xml:space="preserve">'=-(3+4)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</si>
</sst>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mm/dd/yy"/>
    <numFmt numFmtId="167" formatCode="hh:mm:ss\ AM/PM"/>
    <numFmt numFmtId="168" formatCode="[$$-409]#,##0.00;[RED]\-[$$-409]#,##0.00"/>
    <numFmt numFmtId="169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s">
        <v>6</v>
      </c>
      <c r="D2" s="0" t="n">
        <v>165000</v>
      </c>
      <c r="E2" s="0" t="s">
        <v>7</v>
      </c>
    </row>
    <row r="3" customFormat="false" ht="15" hidden="false" customHeight="false" outlineLevel="0" collapsed="false">
      <c r="A3" s="0" t="n">
        <v>2</v>
      </c>
      <c r="B3" s="0" t="s">
        <v>8</v>
      </c>
      <c r="C3" s="0" t="s">
        <v>6</v>
      </c>
      <c r="D3" s="0" t="n">
        <v>172000</v>
      </c>
      <c r="E3" s="0" t="s">
        <v>9</v>
      </c>
    </row>
    <row r="4" customFormat="false" ht="15" hidden="false" customHeight="false" outlineLevel="0" collapsed="false">
      <c r="A4" s="0" t="n">
        <v>3</v>
      </c>
      <c r="B4" s="0" t="s">
        <v>10</v>
      </c>
      <c r="C4" s="0" t="s">
        <v>11</v>
      </c>
      <c r="D4" s="0" t="n">
        <v>158000</v>
      </c>
      <c r="E4" s="0" t="s">
        <v>12</v>
      </c>
    </row>
    <row r="5" customFormat="false" ht="15" hidden="false" customHeight="false" outlineLevel="0" collapsed="false">
      <c r="A5" s="0" t="n">
        <v>4</v>
      </c>
      <c r="B5" s="0" t="s">
        <v>13</v>
      </c>
      <c r="C5" s="0" t="s">
        <v>11</v>
      </c>
      <c r="D5" s="0" t="n">
        <v>149000</v>
      </c>
      <c r="E5" s="0" t="s">
        <v>14</v>
      </c>
    </row>
    <row r="6" customFormat="false" ht="15" hidden="false" customHeight="false" outlineLevel="0" collapsed="false">
      <c r="A6" s="0" t="n">
        <v>5</v>
      </c>
      <c r="B6" s="0" t="s">
        <v>15</v>
      </c>
      <c r="C6" s="0" t="s">
        <v>6</v>
      </c>
      <c r="D6" s="0" t="n">
        <v>181000</v>
      </c>
      <c r="E6" s="0" t="s">
        <v>16</v>
      </c>
    </row>
    <row r="7" customFormat="false" ht="15" hidden="false" customHeight="false" outlineLevel="0" collapsed="false">
      <c r="A7" s="0" t="n">
        <v>6</v>
      </c>
      <c r="B7" s="0" t="s">
        <v>17</v>
      </c>
      <c r="C7" s="0" t="s">
        <v>18</v>
      </c>
      <c r="D7" s="0" t="n">
        <v>121000</v>
      </c>
      <c r="E7" s="0" t="s">
        <v>19</v>
      </c>
    </row>
    <row r="8" customFormat="false" ht="15" hidden="false" customHeight="false" outlineLevel="0" collapsed="false">
      <c r="A8" s="0" t="n">
        <v>7</v>
      </c>
      <c r="B8" s="0" t="s">
        <v>20</v>
      </c>
      <c r="C8" s="0" t="s">
        <v>18</v>
      </c>
      <c r="D8" s="0" t="n">
        <v>118000</v>
      </c>
      <c r="E8" s="0" t="s">
        <v>21</v>
      </c>
    </row>
    <row r="9" customFormat="false" ht="15" hidden="false" customHeight="false" outlineLevel="0" collapsed="false">
      <c r="A9" s="0" t="n">
        <v>8</v>
      </c>
      <c r="B9" s="0" t="s">
        <v>22</v>
      </c>
      <c r="C9" s="0" t="s">
        <v>11</v>
      </c>
      <c r="D9" s="0" t="n">
        <v>143000</v>
      </c>
      <c r="E9" s="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24</v>
      </c>
      <c r="B1" s="0" t="s">
        <v>25</v>
      </c>
      <c r="C1" s="0" t="s">
        <v>26</v>
      </c>
    </row>
    <row r="2" customFormat="false" ht="15" hidden="false" customHeight="false" outlineLevel="0" collapsed="false">
      <c r="A2" s="0" t="s">
        <v>27</v>
      </c>
      <c r="B2" s="0" t="s">
        <v>28</v>
      </c>
      <c r="C2" s="0" t="n">
        <f aca="false">SUM(Data!D2:D9)</f>
        <v>1207000</v>
      </c>
    </row>
    <row r="3" customFormat="false" ht="15" hidden="false" customHeight="false" outlineLevel="0" collapsed="false">
      <c r="A3" s="0" t="s">
        <v>29</v>
      </c>
      <c r="B3" s="0" t="s">
        <v>30</v>
      </c>
      <c r="C3" s="0" t="n">
        <f aca="false">AVERAGE(Data!D2:D9)</f>
        <v>150875</v>
      </c>
    </row>
    <row r="4" customFormat="false" ht="15" hidden="false" customHeight="false" outlineLevel="0" collapsed="false">
      <c r="A4" s="0" t="s">
        <v>31</v>
      </c>
      <c r="B4" s="0" t="s">
        <v>32</v>
      </c>
      <c r="C4" s="0" t="n">
        <f aca="false">MIN(Data!D2:D9)</f>
        <v>118000</v>
      </c>
    </row>
    <row r="5" customFormat="false" ht="15" hidden="false" customHeight="false" outlineLevel="0" collapsed="false">
      <c r="A5" s="0" t="s">
        <v>33</v>
      </c>
      <c r="B5" s="0" t="s">
        <v>34</v>
      </c>
      <c r="C5" s="0" t="n">
        <f aca="false">MAX(Data!D2:D9)</f>
        <v>181000</v>
      </c>
    </row>
    <row r="6" customFormat="false" ht="15" hidden="false" customHeight="false" outlineLevel="0" collapsed="false">
      <c r="A6" s="0" t="s">
        <v>35</v>
      </c>
      <c r="B6" s="0" t="s">
        <v>36</v>
      </c>
      <c r="C6" s="0" t="n">
        <f aca="false">COUNT(Data!D2:D9)</f>
        <v>8</v>
      </c>
    </row>
    <row r="7" customFormat="false" ht="15" hidden="false" customHeight="false" outlineLevel="0" collapsed="false">
      <c r="A7" s="0" t="s">
        <v>37</v>
      </c>
      <c r="B7" s="0" t="s">
        <v>38</v>
      </c>
      <c r="C7" s="0" t="n">
        <f aca="false">COUNTA(Data!A1:E9)</f>
        <v>45</v>
      </c>
    </row>
    <row r="8" customFormat="false" ht="15" hidden="false" customHeight="false" outlineLevel="0" collapsed="false">
      <c r="A8" s="0" t="s">
        <v>39</v>
      </c>
      <c r="B8" s="0" t="s">
        <v>40</v>
      </c>
      <c r="C8" s="0" t="n">
        <f aca="false">COUNTBLANK(Data!A1:E20)</f>
        <v>55</v>
      </c>
    </row>
    <row r="9" customFormat="false" ht="15" hidden="false" customHeight="false" outlineLevel="0" collapsed="false">
      <c r="A9" s="0" t="s">
        <v>41</v>
      </c>
      <c r="B9" s="0" t="s">
        <v>42</v>
      </c>
      <c r="C9" s="0" t="n">
        <f aca="false">MEDIAN(Data!D2:D9)</f>
        <v>153500</v>
      </c>
    </row>
    <row r="10" customFormat="false" ht="15" hidden="false" customHeight="false" outlineLevel="0" collapsed="false">
      <c r="A10" s="0" t="s">
        <v>43</v>
      </c>
      <c r="B10" s="0" t="s">
        <v>44</v>
      </c>
      <c r="C10" s="0" t="n">
        <f aca="false">_xlfn.STDEV.S(Data!D2:D9)</f>
        <v>22812.5122309165</v>
      </c>
    </row>
    <row r="11" customFormat="false" ht="15" hidden="false" customHeight="false" outlineLevel="0" collapsed="false">
      <c r="A11" s="0" t="s">
        <v>45</v>
      </c>
      <c r="B11" s="0" t="s">
        <v>46</v>
      </c>
      <c r="C11" s="0" t="n">
        <f aca="false">_xlfn.VAR.S(Data!D2:D9)</f>
        <v>520410714.285714</v>
      </c>
    </row>
    <row r="12" customFormat="false" ht="15" hidden="false" customHeight="false" outlineLevel="0" collapsed="false">
      <c r="A12" s="0" t="s">
        <v>47</v>
      </c>
      <c r="B12" s="0" t="s">
        <v>48</v>
      </c>
      <c r="C12" s="0" t="n">
        <f aca="false">SUMIF(Data!C2:C9,"Eng",Data!D2:D9)</f>
        <v>518000</v>
      </c>
    </row>
    <row r="13" customFormat="false" ht="15" hidden="false" customHeight="false" outlineLevel="0" collapsed="false">
      <c r="A13" s="0" t="s">
        <v>49</v>
      </c>
      <c r="B13" s="0" t="s">
        <v>50</v>
      </c>
      <c r="C13" s="0" t="n">
        <f aca="false">SUMIFS(Data!D2:D9,Data!C2:C9,"Eng",Data!D2:D9,"&gt;170000")</f>
        <v>353000</v>
      </c>
    </row>
    <row r="14" customFormat="false" ht="15" hidden="false" customHeight="false" outlineLevel="0" collapsed="false">
      <c r="A14" s="0" t="s">
        <v>51</v>
      </c>
      <c r="B14" s="0" t="s">
        <v>52</v>
      </c>
      <c r="C14" s="0" t="n">
        <f aca="false">COUNTIF(Data!C2:C9,"Science")</f>
        <v>3</v>
      </c>
    </row>
    <row r="15" customFormat="false" ht="15" hidden="false" customHeight="false" outlineLevel="0" collapsed="false">
      <c r="A15" s="0" t="s">
        <v>53</v>
      </c>
      <c r="B15" s="0" t="s">
        <v>54</v>
      </c>
      <c r="C15" s="0" t="n">
        <f aca="false">COUNTIFS(Data!C2:C9,"Ops",Data!D2:D9,"&lt;120000")</f>
        <v>1</v>
      </c>
    </row>
    <row r="16" customFormat="false" ht="15" hidden="false" customHeight="false" outlineLevel="0" collapsed="false">
      <c r="A16" s="0" t="s">
        <v>55</v>
      </c>
      <c r="B16" s="0" t="s">
        <v>56</v>
      </c>
      <c r="C16" s="0" t="n">
        <f aca="false">AVERAGEIF(Data!C2:C9,"Eng",Data!D2:D9)</f>
        <v>172666.666666667</v>
      </c>
    </row>
    <row r="17" customFormat="false" ht="15" hidden="false" customHeight="false" outlineLevel="0" collapsed="false">
      <c r="A17" s="0" t="s">
        <v>57</v>
      </c>
      <c r="B17" s="0" t="s">
        <v>58</v>
      </c>
      <c r="C17" s="0" t="str">
        <f aca="false">IF(Data!D2&gt;160000,"high","low")</f>
        <v>high</v>
      </c>
    </row>
    <row r="18" customFormat="false" ht="15" hidden="false" customHeight="false" outlineLevel="0" collapsed="false">
      <c r="A18" s="0" t="s">
        <v>59</v>
      </c>
      <c r="B18" s="0" t="s">
        <v>60</v>
      </c>
      <c r="C18" s="0" t="str">
        <f aca="false">_xlfn.IFS(Data!D2&gt;180000,"top",Data!D2&gt;150000,"mid",TRUE(),"base")</f>
        <v>mid</v>
      </c>
    </row>
    <row r="19" customFormat="false" ht="15" hidden="false" customHeight="false" outlineLevel="0" collapsed="false">
      <c r="A19" s="0" t="s">
        <v>61</v>
      </c>
      <c r="B19" s="0" t="s">
        <v>62</v>
      </c>
      <c r="C19" s="1" t="b">
        <f aca="false">AND(1=1,2=2)</f>
        <v>1</v>
      </c>
    </row>
    <row r="20" customFormat="false" ht="15" hidden="false" customHeight="false" outlineLevel="0" collapsed="false">
      <c r="A20" s="0" t="s">
        <v>63</v>
      </c>
      <c r="B20" s="0" t="s">
        <v>64</v>
      </c>
      <c r="C20" s="1" t="b">
        <f aca="false">OR(1=2,2=2)</f>
        <v>1</v>
      </c>
    </row>
    <row r="21" customFormat="false" ht="15" hidden="false" customHeight="false" outlineLevel="0" collapsed="false">
      <c r="A21" s="0" t="s">
        <v>65</v>
      </c>
      <c r="B21" s="0" t="s">
        <v>66</v>
      </c>
      <c r="C21" s="1" t="b">
        <f aca="false">NOT(1=2)</f>
        <v>1</v>
      </c>
    </row>
    <row r="22" customFormat="false" ht="15" hidden="false" customHeight="false" outlineLevel="0" collapsed="false">
      <c r="A22" s="0" t="s">
        <v>67</v>
      </c>
      <c r="B22" s="0" t="s">
        <v>68</v>
      </c>
      <c r="C22" s="1" t="b">
        <f aca="false">_xlfn.XOR(TRUE(),FALSE())</f>
        <v>1</v>
      </c>
    </row>
    <row r="23" customFormat="false" ht="15" hidden="false" customHeight="false" outlineLevel="0" collapsed="false">
      <c r="A23" s="0" t="s">
        <v>69</v>
      </c>
      <c r="B23" s="0" t="s">
        <v>70</v>
      </c>
      <c r="C23" s="0" t="str">
        <f aca="false">IFERROR(1/0,"caught")</f>
        <v>caught</v>
      </c>
    </row>
    <row r="24" customFormat="false" ht="15" hidden="false" customHeight="false" outlineLevel="0" collapsed="false">
      <c r="A24" s="0" t="s">
        <v>71</v>
      </c>
      <c r="B24" s="0" t="s">
        <v>72</v>
      </c>
      <c r="C24" s="0" t="str">
        <f aca="false">_xlfn.IFNA(NA(),"was na")</f>
        <v>was na</v>
      </c>
    </row>
    <row r="25" customFormat="false" ht="15" hidden="false" customHeight="false" outlineLevel="0" collapsed="false">
      <c r="A25" s="0" t="s">
        <v>73</v>
      </c>
      <c r="B25" s="0" t="s">
        <v>74</v>
      </c>
      <c r="C25" s="0" t="str">
        <f aca="false">VLOOKUP(3,Data!A2:D9,2,FALSE())</f>
        <v>Katherine</v>
      </c>
    </row>
    <row r="26" customFormat="false" ht="15" hidden="false" customHeight="false" outlineLevel="0" collapsed="false">
      <c r="A26" s="0" t="s">
        <v>75</v>
      </c>
      <c r="B26" s="0" t="s">
        <v>76</v>
      </c>
      <c r="C26" s="0" t="str">
        <f aca="false">HLOOKUP("dept",Data!A1:E9,4,FALSE())</f>
        <v>Science</v>
      </c>
    </row>
    <row r="27" customFormat="false" ht="15" hidden="false" customHeight="false" outlineLevel="0" collapsed="false">
      <c r="A27" s="0" t="s">
        <v>77</v>
      </c>
      <c r="B27" s="0" t="s">
        <v>78</v>
      </c>
      <c r="C27" s="0" t="n">
        <f aca="false">INDEX(Data!D2:D9,MATCH("Grace",Data!B2:B9,0))</f>
        <v>172000</v>
      </c>
    </row>
    <row r="28" customFormat="false" ht="15" hidden="false" customHeight="false" outlineLevel="0" collapsed="false">
      <c r="A28" s="0" t="s">
        <v>79</v>
      </c>
      <c r="B28" s="0" t="s">
        <v>80</v>
      </c>
      <c r="C28" s="0" t="e">
        <f aca="false">_xlfn.xlookup("Annie",Data!B2:B9,Data!D2:D9,"none")</f>
        <v>#NAME?</v>
      </c>
    </row>
    <row r="29" customFormat="false" ht="15" hidden="false" customHeight="false" outlineLevel="0" collapsed="false">
      <c r="A29" s="0" t="s">
        <v>81</v>
      </c>
      <c r="B29" s="0" t="s">
        <v>82</v>
      </c>
      <c r="C29" s="0" t="e">
        <f aca="false">_xlfn.xmatch("Mary",Data!B2:B9,0)</f>
        <v>#NAME?</v>
      </c>
    </row>
    <row r="30" customFormat="false" ht="15" hidden="false" customHeight="false" outlineLevel="0" collapsed="false">
      <c r="A30" s="0" t="s">
        <v>83</v>
      </c>
      <c r="B30" s="0" t="s">
        <v>84</v>
      </c>
      <c r="C30" s="0" t="n">
        <f aca="true">OFFSET(Data!A1,2,3)</f>
        <v>172000</v>
      </c>
    </row>
    <row r="31" customFormat="false" ht="15" hidden="false" customHeight="false" outlineLevel="0" collapsed="false">
      <c r="A31" s="0" t="s">
        <v>85</v>
      </c>
      <c r="B31" s="0" t="s">
        <v>86</v>
      </c>
      <c r="C31" s="0" t="n">
        <f aca="true">INDIRECT("Data!D2")</f>
        <v>165000</v>
      </c>
    </row>
    <row r="32" customFormat="false" ht="15" hidden="false" customHeight="false" outlineLevel="0" collapsed="false">
      <c r="A32" s="0" t="s">
        <v>87</v>
      </c>
      <c r="B32" s="0" t="s">
        <v>88</v>
      </c>
      <c r="C32" s="0" t="str">
        <f aca="false">CHOOSE(2,"a","b","c")</f>
        <v>b</v>
      </c>
    </row>
    <row r="33" customFormat="false" ht="15" hidden="false" customHeight="false" outlineLevel="0" collapsed="false">
      <c r="A33" s="0" t="s">
        <v>89</v>
      </c>
      <c r="B33" s="0" t="s">
        <v>90</v>
      </c>
      <c r="C33" s="0" t="n">
        <f aca="false">ROW(Data!A5)</f>
        <v>5</v>
      </c>
    </row>
    <row r="34" customFormat="false" ht="15" hidden="false" customHeight="false" outlineLevel="0" collapsed="false">
      <c r="A34" s="0" t="s">
        <v>91</v>
      </c>
      <c r="B34" s="0" t="s">
        <v>92</v>
      </c>
      <c r="C34" s="0" t="n">
        <f aca="false">COLUMN(Data!D1)</f>
        <v>4</v>
      </c>
    </row>
    <row r="35" customFormat="false" ht="15" hidden="false" customHeight="false" outlineLevel="0" collapsed="false">
      <c r="A35" s="0" t="s">
        <v>93</v>
      </c>
      <c r="B35" s="0" t="s">
        <v>94</v>
      </c>
      <c r="C35" s="0" t="n">
        <f aca="false">ROWS(Data!A1:A9)</f>
        <v>9</v>
      </c>
    </row>
    <row r="36" customFormat="false" ht="15" hidden="false" customHeight="false" outlineLevel="0" collapsed="false">
      <c r="A36" s="0" t="s">
        <v>95</v>
      </c>
      <c r="B36" s="0" t="s">
        <v>96</v>
      </c>
      <c r="C36" s="0" t="n">
        <f aca="false">COLUMNS(Data!A1:E1)</f>
        <v>5</v>
      </c>
    </row>
    <row r="37" customFormat="false" ht="15" hidden="false" customHeight="false" outlineLevel="0" collapsed="false">
      <c r="A37" s="0" t="s">
        <v>97</v>
      </c>
      <c r="B37" s="0" t="s">
        <v>98</v>
      </c>
      <c r="C37" s="0" t="str">
        <f aca="false">_xlfn.CONCAT("a","b","c")</f>
        <v>abc</v>
      </c>
    </row>
    <row r="38" customFormat="false" ht="15" hidden="false" customHeight="false" outlineLevel="0" collapsed="false">
      <c r="A38" s="0" t="s">
        <v>99</v>
      </c>
      <c r="B38" s="0" t="s">
        <v>100</v>
      </c>
      <c r="C38" s="0" t="str">
        <f aca="false">_xlfn.TEXTJOIN("-",TRUE(),"x","y","z")</f>
        <v>x-y-z</v>
      </c>
    </row>
    <row r="39" customFormat="false" ht="15" hidden="false" customHeight="false" outlineLevel="0" collapsed="false">
      <c r="A39" s="0" t="s">
        <v>101</v>
      </c>
      <c r="B39" s="0" t="s">
        <v>102</v>
      </c>
      <c r="C39" s="0" t="str">
        <f aca="false">LEFT("spreadsheet",6)</f>
        <v>spread</v>
      </c>
    </row>
    <row r="40" customFormat="false" ht="15" hidden="false" customHeight="false" outlineLevel="0" collapsed="false">
      <c r="A40" s="0" t="s">
        <v>103</v>
      </c>
      <c r="B40" s="0" t="s">
        <v>104</v>
      </c>
      <c r="C40" s="0" t="str">
        <f aca="false">RIGHT("spreadsheet",5)</f>
        <v>sheet</v>
      </c>
    </row>
    <row r="41" customFormat="false" ht="15" hidden="false" customHeight="false" outlineLevel="0" collapsed="false">
      <c r="A41" s="0" t="s">
        <v>105</v>
      </c>
      <c r="B41" s="0" t="s">
        <v>106</v>
      </c>
      <c r="C41" s="0" t="str">
        <f aca="false">MID("spreadsheet",7,5)</f>
        <v>sheet</v>
      </c>
    </row>
    <row r="42" customFormat="false" ht="15" hidden="false" customHeight="false" outlineLevel="0" collapsed="false">
      <c r="A42" s="0" t="s">
        <v>107</v>
      </c>
      <c r="B42" s="0" t="s">
        <v>108</v>
      </c>
      <c r="C42" s="0" t="n">
        <f aca="false">LEN("spreadsheet")</f>
        <v>11</v>
      </c>
    </row>
    <row r="43" customFormat="false" ht="15" hidden="false" customHeight="false" outlineLevel="0" collapsed="false">
      <c r="A43" s="0" t="s">
        <v>109</v>
      </c>
      <c r="B43" s="0" t="s">
        <v>110</v>
      </c>
      <c r="C43" s="0" t="str">
        <f aca="false">UPPER("abc")</f>
        <v>ABC</v>
      </c>
    </row>
    <row r="44" customFormat="false" ht="15" hidden="false" customHeight="false" outlineLevel="0" collapsed="false">
      <c r="A44" s="0" t="s">
        <v>111</v>
      </c>
      <c r="B44" s="0" t="s">
        <v>112</v>
      </c>
      <c r="C44" s="0" t="str">
        <f aca="false">LOWER("ABC")</f>
        <v>abc</v>
      </c>
    </row>
    <row r="45" customFormat="false" ht="15" hidden="false" customHeight="false" outlineLevel="0" collapsed="false">
      <c r="A45" s="0" t="s">
        <v>113</v>
      </c>
      <c r="B45" s="0" t="s">
        <v>114</v>
      </c>
      <c r="C45" s="0" t="str">
        <f aca="false">PROPER("hello world")</f>
        <v>Hello World</v>
      </c>
    </row>
    <row r="46" customFormat="false" ht="15" hidden="false" customHeight="false" outlineLevel="0" collapsed="false">
      <c r="A46" s="0" t="s">
        <v>115</v>
      </c>
      <c r="B46" s="0" t="s">
        <v>116</v>
      </c>
      <c r="C46" s="0" t="str">
        <f aca="false">TRIM("  pad  ")</f>
        <v>pad</v>
      </c>
    </row>
    <row r="47" customFormat="false" ht="15" hidden="false" customHeight="false" outlineLevel="0" collapsed="false">
      <c r="A47" s="0" t="s">
        <v>117</v>
      </c>
      <c r="B47" s="0" t="s">
        <v>118</v>
      </c>
      <c r="C47" s="0" t="str">
        <f aca="false">SUBSTITUTE("a-b-c","-","+")</f>
        <v>a+b+c</v>
      </c>
    </row>
    <row r="48" customFormat="false" ht="15" hidden="false" customHeight="false" outlineLevel="0" collapsed="false">
      <c r="A48" s="0" t="s">
        <v>119</v>
      </c>
      <c r="B48" s="0" t="s">
        <v>120</v>
      </c>
      <c r="C48" s="0" t="str">
        <f aca="false">REPLACE("abcdef",2,3,"XY")</f>
        <v>aXYef</v>
      </c>
    </row>
    <row r="49" customFormat="false" ht="15" hidden="false" customHeight="false" outlineLevel="0" collapsed="false">
      <c r="A49" s="0" t="s">
        <v>121</v>
      </c>
      <c r="B49" s="0" t="s">
        <v>122</v>
      </c>
      <c r="C49" s="0" t="n">
        <f aca="false">FIND("read","spreadsheet")</f>
        <v>3</v>
      </c>
    </row>
    <row r="50" customFormat="false" ht="15" hidden="false" customHeight="false" outlineLevel="0" collapsed="false">
      <c r="A50" s="0" t="s">
        <v>123</v>
      </c>
      <c r="B50" s="0" t="s">
        <v>124</v>
      </c>
      <c r="C50" s="0" t="n">
        <f aca="false">SEARCH("READ","spreadsheet")</f>
        <v>3</v>
      </c>
    </row>
    <row r="51" customFormat="false" ht="15" hidden="false" customHeight="false" outlineLevel="0" collapsed="false">
      <c r="A51" s="0" t="s">
        <v>125</v>
      </c>
      <c r="B51" s="0" t="s">
        <v>126</v>
      </c>
      <c r="C51" s="0" t="str">
        <f aca="false">TEXT(1234.567,"#,##0.00")</f>
        <v>1,234.57</v>
      </c>
    </row>
    <row r="52" customFormat="false" ht="15" hidden="false" customHeight="false" outlineLevel="0" collapsed="false">
      <c r="A52" s="0" t="s">
        <v>127</v>
      </c>
      <c r="B52" s="0" t="s">
        <v>128</v>
      </c>
      <c r="C52" s="0" t="n">
        <f aca="false">VALUE("123.45")</f>
        <v>123.45</v>
      </c>
    </row>
    <row r="53" customFormat="false" ht="15" hidden="false" customHeight="false" outlineLevel="0" collapsed="false">
      <c r="A53" s="0" t="s">
        <v>129</v>
      </c>
      <c r="B53" s="0" t="s">
        <v>130</v>
      </c>
      <c r="C53" s="0" t="str">
        <f aca="false">REPT("ab",3)</f>
        <v>ababab</v>
      </c>
    </row>
    <row r="54" customFormat="false" ht="15" hidden="false" customHeight="false" outlineLevel="0" collapsed="false">
      <c r="A54" s="0" t="s">
        <v>131</v>
      </c>
      <c r="B54" s="0" t="s">
        <v>132</v>
      </c>
      <c r="C54" s="1" t="b">
        <f aca="false">EXACT("a","A")</f>
        <v>0</v>
      </c>
    </row>
    <row r="55" customFormat="false" ht="15" hidden="false" customHeight="false" outlineLevel="0" collapsed="false">
      <c r="A55" s="0" t="s">
        <v>133</v>
      </c>
      <c r="B55" s="0" t="s">
        <v>134</v>
      </c>
      <c r="C55" s="0" t="n">
        <f aca="false">ROUND(3.14159,2)</f>
        <v>3.14</v>
      </c>
    </row>
    <row r="56" customFormat="false" ht="15" hidden="false" customHeight="false" outlineLevel="0" collapsed="false">
      <c r="A56" s="0" t="s">
        <v>135</v>
      </c>
      <c r="B56" s="0" t="s">
        <v>136</v>
      </c>
      <c r="C56" s="0" t="n">
        <f aca="false">ROUNDUP(3.14159,2)</f>
        <v>3.15</v>
      </c>
    </row>
    <row r="57" customFormat="false" ht="15" hidden="false" customHeight="false" outlineLevel="0" collapsed="false">
      <c r="A57" s="0" t="s">
        <v>137</v>
      </c>
      <c r="B57" s="0" t="s">
        <v>138</v>
      </c>
      <c r="C57" s="0" t="n">
        <f aca="false">ROUNDDOWN(3.14159,2)</f>
        <v>3.14</v>
      </c>
    </row>
    <row r="58" customFormat="false" ht="15" hidden="false" customHeight="false" outlineLevel="0" collapsed="false">
      <c r="A58" s="0" t="s">
        <v>139</v>
      </c>
      <c r="B58" s="0" t="s">
        <v>140</v>
      </c>
      <c r="C58" s="0" t="n">
        <f aca="false">MROUND(17,5)</f>
        <v>15</v>
      </c>
    </row>
    <row r="59" customFormat="false" ht="15" hidden="false" customHeight="false" outlineLevel="0" collapsed="false">
      <c r="A59" s="0" t="s">
        <v>141</v>
      </c>
      <c r="B59" s="0" t="s">
        <v>142</v>
      </c>
      <c r="C59" s="0" t="n">
        <f aca="false">_xlfn.CEILING.MATH(4.2)</f>
        <v>5</v>
      </c>
    </row>
    <row r="60" customFormat="false" ht="15" hidden="false" customHeight="false" outlineLevel="0" collapsed="false">
      <c r="A60" s="0" t="s">
        <v>143</v>
      </c>
      <c r="B60" s="0" t="s">
        <v>144</v>
      </c>
      <c r="C60" s="0" t="n">
        <f aca="false">_xlfn.FLOOR.MATH(4.8)</f>
        <v>4</v>
      </c>
    </row>
    <row r="61" customFormat="false" ht="15" hidden="false" customHeight="false" outlineLevel="0" collapsed="false">
      <c r="A61" s="0" t="s">
        <v>145</v>
      </c>
      <c r="B61" s="0" t="s">
        <v>146</v>
      </c>
      <c r="C61" s="0" t="n">
        <f aca="false">INT(-3.5)</f>
        <v>-4</v>
      </c>
    </row>
    <row r="62" customFormat="false" ht="15" hidden="false" customHeight="false" outlineLevel="0" collapsed="false">
      <c r="A62" s="0" t="s">
        <v>147</v>
      </c>
      <c r="B62" s="0" t="s">
        <v>148</v>
      </c>
      <c r="C62" s="0" t="n">
        <f aca="false">TRUNC(-3.5)</f>
        <v>-3</v>
      </c>
    </row>
    <row r="63" customFormat="false" ht="15" hidden="false" customHeight="false" outlineLevel="0" collapsed="false">
      <c r="A63" s="0" t="s">
        <v>149</v>
      </c>
      <c r="B63" s="0" t="s">
        <v>150</v>
      </c>
      <c r="C63" s="0" t="n">
        <f aca="false">ABS(-7)</f>
        <v>7</v>
      </c>
    </row>
    <row r="64" customFormat="false" ht="15" hidden="false" customHeight="false" outlineLevel="0" collapsed="false">
      <c r="A64" s="0" t="s">
        <v>151</v>
      </c>
      <c r="B64" s="0" t="s">
        <v>152</v>
      </c>
      <c r="C64" s="0" t="n">
        <f aca="false">SIGN(-7)</f>
        <v>-1</v>
      </c>
    </row>
    <row r="65" customFormat="false" ht="15" hidden="false" customHeight="false" outlineLevel="0" collapsed="false">
      <c r="A65" s="0" t="s">
        <v>153</v>
      </c>
      <c r="B65" s="0" t="s">
        <v>154</v>
      </c>
      <c r="C65" s="0" t="n">
        <f aca="false">MOD(-7,3)</f>
        <v>2</v>
      </c>
    </row>
    <row r="66" customFormat="false" ht="15" hidden="false" customHeight="false" outlineLevel="0" collapsed="false">
      <c r="A66" s="0" t="s">
        <v>155</v>
      </c>
      <c r="B66" s="0" t="s">
        <v>156</v>
      </c>
      <c r="C66" s="0" t="n">
        <f aca="false">QUOTIENT(7,2)</f>
        <v>3</v>
      </c>
    </row>
    <row r="67" customFormat="false" ht="15" hidden="false" customHeight="false" outlineLevel="0" collapsed="false">
      <c r="A67" s="0" t="s">
        <v>157</v>
      </c>
      <c r="B67" s="0" t="s">
        <v>158</v>
      </c>
      <c r="C67" s="0" t="n">
        <f aca="false">POWER(2,10)</f>
        <v>1024</v>
      </c>
    </row>
    <row r="68" customFormat="false" ht="15" hidden="false" customHeight="false" outlineLevel="0" collapsed="false">
      <c r="A68" s="0" t="s">
        <v>159</v>
      </c>
      <c r="B68" s="0" t="s">
        <v>160</v>
      </c>
      <c r="C68" s="0" t="n">
        <f aca="false">SQRT(144)</f>
        <v>12</v>
      </c>
    </row>
    <row r="69" customFormat="false" ht="15" hidden="false" customHeight="false" outlineLevel="0" collapsed="false">
      <c r="A69" s="0" t="s">
        <v>161</v>
      </c>
      <c r="B69" s="0" t="s">
        <v>162</v>
      </c>
      <c r="C69" s="0" t="n">
        <f aca="false">EXP(1)</f>
        <v>2.71828182845905</v>
      </c>
    </row>
    <row r="70" customFormat="false" ht="15" hidden="false" customHeight="false" outlineLevel="0" collapsed="false">
      <c r="A70" s="0" t="s">
        <v>163</v>
      </c>
      <c r="B70" s="0" t="s">
        <v>164</v>
      </c>
      <c r="C70" s="0" t="n">
        <f aca="false">LN(EXP(2))</f>
        <v>2</v>
      </c>
    </row>
    <row r="71" customFormat="false" ht="15" hidden="false" customHeight="false" outlineLevel="0" collapsed="false">
      <c r="A71" s="0" t="s">
        <v>165</v>
      </c>
      <c r="B71" s="0" t="s">
        <v>166</v>
      </c>
      <c r="C71" s="0" t="n">
        <f aca="false">LOG10(1000)</f>
        <v>3</v>
      </c>
    </row>
    <row r="72" customFormat="false" ht="15" hidden="false" customHeight="false" outlineLevel="0" collapsed="false">
      <c r="A72" s="0" t="s">
        <v>167</v>
      </c>
      <c r="B72" s="0" t="s">
        <v>168</v>
      </c>
      <c r="C72" s="0" t="n">
        <f aca="false">LOG(8,2)</f>
        <v>3</v>
      </c>
    </row>
    <row r="73" customFormat="false" ht="15" hidden="false" customHeight="false" outlineLevel="0" collapsed="false">
      <c r="A73" s="0" t="s">
        <v>169</v>
      </c>
      <c r="B73" s="0" t="s">
        <v>170</v>
      </c>
      <c r="C73" s="0" t="n">
        <f aca="false">PI()</f>
        <v>3.14159265358979</v>
      </c>
    </row>
    <row r="74" customFormat="false" ht="15" hidden="false" customHeight="false" outlineLevel="0" collapsed="false">
      <c r="A74" s="0" t="s">
        <v>171</v>
      </c>
      <c r="B74" s="0" t="s">
        <v>172</v>
      </c>
      <c r="C74" s="0" t="n">
        <f aca="false">SIN(PI()/2)</f>
        <v>1</v>
      </c>
    </row>
    <row r="75" customFormat="false" ht="15" hidden="false" customHeight="false" outlineLevel="0" collapsed="false">
      <c r="A75" s="0" t="s">
        <v>173</v>
      </c>
      <c r="B75" s="0" t="s">
        <v>174</v>
      </c>
      <c r="C75" s="0" t="n">
        <f aca="false">COS(0)</f>
        <v>1</v>
      </c>
    </row>
    <row r="76" customFormat="false" ht="15" hidden="false" customHeight="false" outlineLevel="0" collapsed="false">
      <c r="A76" s="0" t="s">
        <v>175</v>
      </c>
      <c r="B76" s="0" t="s">
        <v>176</v>
      </c>
      <c r="C76" s="0" t="n">
        <f aca="false">TAN(0)</f>
        <v>0</v>
      </c>
    </row>
    <row r="77" customFormat="false" ht="15" hidden="false" customHeight="false" outlineLevel="0" collapsed="false">
      <c r="A77" s="0" t="s">
        <v>177</v>
      </c>
      <c r="B77" s="0" t="s">
        <v>178</v>
      </c>
      <c r="C77" s="0" t="n">
        <f aca="false">ATAN2(1,1)</f>
        <v>0.785398163397448</v>
      </c>
    </row>
    <row r="78" customFormat="false" ht="15" hidden="false" customHeight="false" outlineLevel="0" collapsed="false">
      <c r="A78" s="0" t="s">
        <v>179</v>
      </c>
      <c r="B78" s="0" t="s">
        <v>180</v>
      </c>
      <c r="C78" s="0" t="n">
        <f aca="false">DEGREES(PI())</f>
        <v>180</v>
      </c>
    </row>
    <row r="79" customFormat="false" ht="15" hidden="false" customHeight="false" outlineLevel="0" collapsed="false">
      <c r="A79" s="0" t="s">
        <v>181</v>
      </c>
      <c r="B79" s="0" t="s">
        <v>182</v>
      </c>
      <c r="C79" s="0" t="n">
        <f aca="false">RADIANS(180)</f>
        <v>3.14159265358979</v>
      </c>
    </row>
    <row r="80" customFormat="false" ht="15" hidden="false" customHeight="false" outlineLevel="0" collapsed="false">
      <c r="A80" s="0" t="s">
        <v>183</v>
      </c>
      <c r="B80" s="0" t="s">
        <v>184</v>
      </c>
      <c r="C80" s="0" t="n">
        <f aca="false">SUMPRODUCT(Data!A2:A9,Data!D2:D9)</f>
        <v>5180000</v>
      </c>
    </row>
    <row r="81" customFormat="false" ht="15" hidden="false" customHeight="false" outlineLevel="0" collapsed="false">
      <c r="A81" s="0" t="s">
        <v>185</v>
      </c>
      <c r="B81" s="0" t="s">
        <v>186</v>
      </c>
      <c r="C81" s="0" t="n">
        <f aca="false">SUMSQ(3,4)</f>
        <v>25</v>
      </c>
    </row>
    <row r="82" customFormat="false" ht="15" hidden="false" customHeight="false" outlineLevel="0" collapsed="false">
      <c r="A82" s="0" t="s">
        <v>187</v>
      </c>
      <c r="B82" s="0" t="s">
        <v>188</v>
      </c>
      <c r="C82" s="0" t="n">
        <f aca="false">PRODUCT(2,3,4)</f>
        <v>24</v>
      </c>
    </row>
    <row r="83" customFormat="false" ht="15" hidden="false" customHeight="false" outlineLevel="0" collapsed="false">
      <c r="A83" s="0" t="s">
        <v>189</v>
      </c>
      <c r="B83" s="0" t="s">
        <v>190</v>
      </c>
      <c r="C83" s="0" t="n">
        <f aca="false">GCD(24,36)</f>
        <v>12</v>
      </c>
    </row>
    <row r="84" customFormat="false" ht="15" hidden="false" customHeight="false" outlineLevel="0" collapsed="false">
      <c r="A84" s="0" t="s">
        <v>191</v>
      </c>
      <c r="B84" s="0" t="s">
        <v>192</v>
      </c>
      <c r="C84" s="0" t="n">
        <f aca="false">LCM(4,6)</f>
        <v>12</v>
      </c>
    </row>
    <row r="85" customFormat="false" ht="15" hidden="false" customHeight="false" outlineLevel="0" collapsed="false">
      <c r="A85" s="0" t="s">
        <v>193</v>
      </c>
      <c r="B85" s="0" t="s">
        <v>194</v>
      </c>
      <c r="C85" s="0" t="n">
        <f aca="false">FACT(6)</f>
        <v>720</v>
      </c>
    </row>
    <row r="86" customFormat="false" ht="15" hidden="false" customHeight="false" outlineLevel="0" collapsed="false">
      <c r="A86" s="0" t="s">
        <v>195</v>
      </c>
      <c r="B86" s="0" t="s">
        <v>196</v>
      </c>
      <c r="C86" s="0" t="n">
        <f aca="false">COMBIN(10,3)</f>
        <v>120</v>
      </c>
    </row>
    <row r="87" customFormat="false" ht="15" hidden="false" customHeight="false" outlineLevel="0" collapsed="false">
      <c r="A87" s="0" t="s">
        <v>197</v>
      </c>
      <c r="B87" s="0" t="s">
        <v>198</v>
      </c>
      <c r="C87" s="2" t="n">
        <f aca="false">DATE(2024,2,29)</f>
        <v>45351</v>
      </c>
    </row>
    <row r="88" customFormat="false" ht="15" hidden="false" customHeight="false" outlineLevel="0" collapsed="false">
      <c r="A88" s="0" t="s">
        <v>199</v>
      </c>
      <c r="B88" s="0" t="s">
        <v>200</v>
      </c>
      <c r="C88" s="0" t="n">
        <f aca="false">YEAR(DATE(2024,2,29))</f>
        <v>2024</v>
      </c>
    </row>
    <row r="89" customFormat="false" ht="15" hidden="false" customHeight="false" outlineLevel="0" collapsed="false">
      <c r="A89" s="0" t="s">
        <v>201</v>
      </c>
      <c r="B89" s="0" t="s">
        <v>202</v>
      </c>
      <c r="C89" s="0" t="n">
        <f aca="false">MONTH(DATE(2024,2,29))</f>
        <v>2</v>
      </c>
    </row>
    <row r="90" customFormat="false" ht="15" hidden="false" customHeight="false" outlineLevel="0" collapsed="false">
      <c r="A90" s="0" t="s">
        <v>203</v>
      </c>
      <c r="B90" s="0" t="s">
        <v>204</v>
      </c>
      <c r="C90" s="0" t="n">
        <f aca="false">DAY(DATE(2024,2,29))</f>
        <v>29</v>
      </c>
    </row>
    <row r="91" customFormat="false" ht="15" hidden="false" customHeight="false" outlineLevel="0" collapsed="false">
      <c r="A91" s="0" t="s">
        <v>205</v>
      </c>
      <c r="B91" s="0" t="s">
        <v>206</v>
      </c>
      <c r="C91" s="0" t="n">
        <f aca="false">EOMONTH(DATE(2024,1,15),0)</f>
        <v>45322</v>
      </c>
    </row>
    <row r="92" customFormat="false" ht="15" hidden="false" customHeight="false" outlineLevel="0" collapsed="false">
      <c r="A92" s="0" t="s">
        <v>207</v>
      </c>
      <c r="B92" s="0" t="s">
        <v>208</v>
      </c>
      <c r="C92" s="0" t="n">
        <f aca="false">EDATE(DATE(2024,1,31),1)</f>
        <v>45351</v>
      </c>
    </row>
    <row r="93" customFormat="false" ht="15" hidden="false" customHeight="false" outlineLevel="0" collapsed="false">
      <c r="A93" s="0" t="s">
        <v>209</v>
      </c>
      <c r="B93" s="0" t="s">
        <v>210</v>
      </c>
      <c r="C93" s="0" t="n">
        <f aca="false">WEEKDAY(DATE(2024,3,1))</f>
        <v>6</v>
      </c>
    </row>
    <row r="94" customFormat="false" ht="15" hidden="false" customHeight="false" outlineLevel="0" collapsed="false">
      <c r="A94" s="0" t="s">
        <v>211</v>
      </c>
      <c r="B94" s="0" t="s">
        <v>212</v>
      </c>
      <c r="C94" s="0" t="n">
        <f aca="false">WEEKNUM(DATE(2024,3,1),1)</f>
        <v>9</v>
      </c>
    </row>
    <row r="95" customFormat="false" ht="15" hidden="false" customHeight="false" outlineLevel="0" collapsed="false">
      <c r="A95" s="0" t="s">
        <v>213</v>
      </c>
      <c r="B95" s="0" t="s">
        <v>214</v>
      </c>
      <c r="C95" s="0" t="n">
        <f aca="false">DATEDIF(DATE(2020,1,1),DATE(2024,3,1),"m")</f>
        <v>50</v>
      </c>
    </row>
    <row r="96" customFormat="false" ht="15" hidden="false" customHeight="false" outlineLevel="0" collapsed="false">
      <c r="A96" s="0" t="s">
        <v>215</v>
      </c>
      <c r="B96" s="0" t="s">
        <v>216</v>
      </c>
      <c r="C96" s="0" t="n">
        <f aca="false">_xlfn.DAYS(DATE(2024,3,1),DATE(2024,1,1))</f>
        <v>60</v>
      </c>
    </row>
    <row r="97" customFormat="false" ht="15" hidden="false" customHeight="false" outlineLevel="0" collapsed="false">
      <c r="A97" s="0" t="s">
        <v>217</v>
      </c>
      <c r="B97" s="0" t="s">
        <v>218</v>
      </c>
      <c r="C97" s="0" t="n">
        <f aca="false">NETWORKDAYS(DATE(2024,1,1),DATE(2024,1,31))</f>
        <v>23</v>
      </c>
    </row>
    <row r="98" customFormat="false" ht="15" hidden="false" customHeight="false" outlineLevel="0" collapsed="false">
      <c r="A98" s="0" t="s">
        <v>219</v>
      </c>
      <c r="B98" s="0" t="s">
        <v>220</v>
      </c>
      <c r="C98" s="0" t="n">
        <f aca="false">WORKDAY(DATE(2024,1,1),10)</f>
        <v>45306</v>
      </c>
    </row>
    <row r="99" customFormat="false" ht="15" hidden="false" customHeight="false" outlineLevel="0" collapsed="false">
      <c r="A99" s="0" t="s">
        <v>221</v>
      </c>
      <c r="B99" s="0" t="s">
        <v>222</v>
      </c>
      <c r="C99" s="3" t="n">
        <f aca="false">TIME(13,45,30)</f>
        <v>0.573263888888889</v>
      </c>
    </row>
    <row r="100" customFormat="false" ht="15" hidden="false" customHeight="false" outlineLevel="0" collapsed="false">
      <c r="A100" s="0" t="s">
        <v>223</v>
      </c>
      <c r="B100" s="0" t="s">
        <v>224</v>
      </c>
      <c r="C100" s="0" t="n">
        <f aca="false">HOUR(TIME(13,45,30))</f>
        <v>13</v>
      </c>
    </row>
    <row r="101" customFormat="false" ht="15" hidden="false" customHeight="false" outlineLevel="0" collapsed="false">
      <c r="A101" s="0" t="s">
        <v>225</v>
      </c>
      <c r="B101" s="0" t="s">
        <v>226</v>
      </c>
      <c r="C101" s="0" t="n">
        <f aca="false">MINUTE(TIME(13,45,30))</f>
        <v>45</v>
      </c>
    </row>
    <row r="102" customFormat="false" ht="15" hidden="false" customHeight="false" outlineLevel="0" collapsed="false">
      <c r="A102" s="0" t="s">
        <v>227</v>
      </c>
      <c r="B102" s="0" t="s">
        <v>228</v>
      </c>
      <c r="C102" s="0" t="n">
        <f aca="false">SECOND(TIME(13,45,30))</f>
        <v>30</v>
      </c>
    </row>
    <row r="103" customFormat="false" ht="15" hidden="false" customHeight="false" outlineLevel="0" collapsed="false">
      <c r="A103" s="0" t="s">
        <v>229</v>
      </c>
      <c r="B103" s="0" t="s">
        <v>230</v>
      </c>
      <c r="C103" s="4" t="n">
        <f aca="false">PMT(0.05/12,360,-300000)</f>
        <v>1610.46486903642</v>
      </c>
    </row>
    <row r="104" customFormat="false" ht="15" hidden="false" customHeight="false" outlineLevel="0" collapsed="false">
      <c r="A104" s="0" t="s">
        <v>231</v>
      </c>
      <c r="B104" s="0" t="s">
        <v>232</v>
      </c>
      <c r="C104" s="4" t="n">
        <f aca="false">FV(0.05/12,360,-1000)</f>
        <v>832258.635361466</v>
      </c>
    </row>
    <row r="105" customFormat="false" ht="15" hidden="false" customHeight="false" outlineLevel="0" collapsed="false">
      <c r="A105" s="0" t="s">
        <v>233</v>
      </c>
      <c r="B105" s="0" t="s">
        <v>234</v>
      </c>
      <c r="C105" s="4" t="n">
        <f aca="false">PV(0.05/12,360,-1000)</f>
        <v>186281.617046075</v>
      </c>
    </row>
    <row r="106" customFormat="false" ht="15" hidden="false" customHeight="false" outlineLevel="0" collapsed="false">
      <c r="A106" s="0" t="s">
        <v>235</v>
      </c>
      <c r="B106" s="0" t="s">
        <v>236</v>
      </c>
      <c r="C106" s="0" t="n">
        <f aca="false">NPER(0.05/12,-1000,200000)</f>
        <v>430.917531503355</v>
      </c>
    </row>
    <row r="107" customFormat="false" ht="15" hidden="false" customHeight="false" outlineLevel="0" collapsed="false">
      <c r="A107" s="0" t="s">
        <v>237</v>
      </c>
      <c r="B107" s="0" t="s">
        <v>238</v>
      </c>
      <c r="C107" s="5" t="n">
        <f aca="false">RATE(360,-1500,250000)</f>
        <v>0.00500582500676247</v>
      </c>
    </row>
    <row r="108" customFormat="false" ht="15" hidden="false" customHeight="false" outlineLevel="0" collapsed="false">
      <c r="A108" s="0" t="s">
        <v>239</v>
      </c>
      <c r="B108" s="0" t="s">
        <v>240</v>
      </c>
      <c r="C108" s="4" t="n">
        <f aca="false">NPV(0.1,-100,50,60,70)</f>
        <v>43.3030530701455</v>
      </c>
    </row>
    <row r="109" customFormat="false" ht="15" hidden="false" customHeight="false" outlineLevel="0" collapsed="false">
      <c r="A109" s="0" t="s">
        <v>241</v>
      </c>
      <c r="B109" s="0" t="s">
        <v>242</v>
      </c>
      <c r="C109" s="5" t="n">
        <f aca="false">IRR({-100,50,60,70})</f>
        <v>0.338749709701626</v>
      </c>
    </row>
    <row r="110" customFormat="false" ht="15" hidden="false" customHeight="false" outlineLevel="0" collapsed="false">
      <c r="A110" s="0" t="s">
        <v>243</v>
      </c>
      <c r="B110" s="0" t="s">
        <v>244</v>
      </c>
      <c r="C110" s="4" t="n">
        <f aca="false">SLN(10000,1000,5)</f>
        <v>1800</v>
      </c>
    </row>
    <row r="111" customFormat="false" ht="15" hidden="false" customHeight="false" outlineLevel="0" collapsed="false">
      <c r="A111" s="0" t="s">
        <v>245</v>
      </c>
      <c r="B111" s="0" t="s">
        <v>246</v>
      </c>
      <c r="C111" s="1" t="b">
        <f aca="false">ISBLANK(Data!Z1)</f>
        <v>1</v>
      </c>
    </row>
    <row r="112" customFormat="false" ht="15" hidden="false" customHeight="false" outlineLevel="0" collapsed="false">
      <c r="A112" s="0" t="s">
        <v>247</v>
      </c>
      <c r="B112" s="0" t="s">
        <v>248</v>
      </c>
      <c r="C112" s="1" t="b">
        <f aca="false">ISNUMBER(1)</f>
        <v>1</v>
      </c>
    </row>
    <row r="113" customFormat="false" ht="15" hidden="false" customHeight="false" outlineLevel="0" collapsed="false">
      <c r="A113" s="0" t="s">
        <v>249</v>
      </c>
      <c r="B113" s="0" t="s">
        <v>250</v>
      </c>
      <c r="C113" s="1" t="b">
        <f aca="false">ISTEXT("a")</f>
        <v>1</v>
      </c>
    </row>
    <row r="114" customFormat="false" ht="15" hidden="false" customHeight="false" outlineLevel="0" collapsed="false">
      <c r="A114" s="0" t="s">
        <v>251</v>
      </c>
      <c r="B114" s="0" t="s">
        <v>252</v>
      </c>
      <c r="C114" s="1" t="b">
        <f aca="false">ISERROR(1/0)</f>
        <v>1</v>
      </c>
    </row>
    <row r="115" customFormat="false" ht="15" hidden="false" customHeight="false" outlineLevel="0" collapsed="false">
      <c r="A115" s="0" t="s">
        <v>253</v>
      </c>
      <c r="B115" s="0" t="s">
        <v>254</v>
      </c>
      <c r="C115" s="1" t="b">
        <f aca="false">ISERR(NA())</f>
        <v>0</v>
      </c>
    </row>
    <row r="116" customFormat="false" ht="15" hidden="false" customHeight="false" outlineLevel="0" collapsed="false">
      <c r="A116" s="0" t="s">
        <v>255</v>
      </c>
      <c r="B116" s="0" t="s">
        <v>256</v>
      </c>
      <c r="C116" s="1" t="b">
        <f aca="false">ISNA(NA())</f>
        <v>1</v>
      </c>
    </row>
    <row r="117" customFormat="false" ht="15" hidden="false" customHeight="false" outlineLevel="0" collapsed="false">
      <c r="A117" s="0" t="s">
        <v>257</v>
      </c>
      <c r="B117" s="0" t="s">
        <v>258</v>
      </c>
      <c r="C117" s="1" t="b">
        <f aca="false">ISLOGICAL(TRUE())</f>
        <v>1</v>
      </c>
    </row>
    <row r="118" customFormat="false" ht="15" hidden="false" customHeight="false" outlineLevel="0" collapsed="false">
      <c r="A118" s="0" t="s">
        <v>259</v>
      </c>
      <c r="B118" s="0" t="s">
        <v>260</v>
      </c>
      <c r="C118" s="1" t="b">
        <f aca="false">ISEVEN(4)</f>
        <v>1</v>
      </c>
    </row>
    <row r="119" customFormat="false" ht="15" hidden="false" customHeight="false" outlineLevel="0" collapsed="false">
      <c r="A119" s="0" t="s">
        <v>261</v>
      </c>
      <c r="B119" s="0" t="s">
        <v>262</v>
      </c>
      <c r="C119" s="1" t="b">
        <f aca="false">ISODD(4)</f>
        <v>0</v>
      </c>
    </row>
    <row r="120" customFormat="false" ht="15" hidden="false" customHeight="false" outlineLevel="0" collapsed="false">
      <c r="A120" s="0" t="s">
        <v>263</v>
      </c>
      <c r="B120" s="0" t="s">
        <v>264</v>
      </c>
      <c r="C120" s="0" t="n">
        <f aca="false">N(TRUE())</f>
        <v>1</v>
      </c>
    </row>
    <row r="121" customFormat="false" ht="15" hidden="false" customHeight="false" outlineLevel="0" collapsed="false">
      <c r="A121" s="0" t="s">
        <v>265</v>
      </c>
      <c r="B121" s="0" t="s">
        <v>266</v>
      </c>
      <c r="C121" s="0" t="str">
        <f aca="false">T("txt")</f>
        <v>txt</v>
      </c>
    </row>
    <row r="122" customFormat="false" ht="15" hidden="false" customHeight="false" outlineLevel="0" collapsed="false">
      <c r="A122" s="0" t="s">
        <v>267</v>
      </c>
      <c r="B122" s="0" t="s">
        <v>268</v>
      </c>
      <c r="C122" s="0" t="n">
        <f aca="false">TYPE(1)</f>
        <v>1</v>
      </c>
    </row>
    <row r="123" customFormat="false" ht="15" hidden="false" customHeight="false" outlineLevel="0" collapsed="false">
      <c r="A123" s="0" t="s">
        <v>269</v>
      </c>
      <c r="B123" s="0" t="s">
        <v>270</v>
      </c>
      <c r="C123" s="0" t="e">
        <f aca="false">1/0</f>
        <v>#DIV/0!</v>
      </c>
    </row>
    <row r="124" customFormat="false" ht="15" hidden="false" customHeight="false" outlineLevel="0" collapsed="false">
      <c r="A124" s="0" t="s">
        <v>271</v>
      </c>
      <c r="B124" s="0" t="s">
        <v>272</v>
      </c>
      <c r="C124" s="0" t="e">
        <f aca="false">"a"+1</f>
        <v>#VALUE!</v>
      </c>
    </row>
    <row r="125" customFormat="false" ht="15" hidden="false" customHeight="false" outlineLevel="0" collapsed="false">
      <c r="A125" s="0" t="s">
        <v>273</v>
      </c>
      <c r="B125" s="0" t="s">
        <v>274</v>
      </c>
      <c r="C125" s="0" t="e">
        <f aca="false">notafunction(1)</f>
        <v>#NAME?</v>
      </c>
    </row>
    <row r="126" customFormat="false" ht="15" hidden="false" customHeight="false" outlineLevel="0" collapsed="false">
      <c r="A126" s="0" t="s">
        <v>275</v>
      </c>
      <c r="B126" s="0" t="s">
        <v>276</v>
      </c>
      <c r="C126" s="0" t="e">
        <f aca="false">SUM(Data!A1:A2)/0</f>
        <v>#DIV/0!</v>
      </c>
    </row>
    <row r="127" customFormat="false" ht="15" hidden="false" customHeight="false" outlineLevel="0" collapsed="false">
      <c r="A127" s="0" t="s">
        <v>277</v>
      </c>
      <c r="B127" s="0" t="s">
        <v>278</v>
      </c>
      <c r="C127" s="0" t="n">
        <f aca="false">SUM({1,2,3;4,5,6})</f>
        <v>21</v>
      </c>
    </row>
    <row r="128" customFormat="false" ht="15" hidden="false" customHeight="false" outlineLevel="0" collapsed="false">
      <c r="A128" s="0" t="s">
        <v>279</v>
      </c>
      <c r="B128" s="0" t="s">
        <v>280</v>
      </c>
      <c r="C128" s="0" t="n">
        <f aca="false">IF(SUM(Data!D2:D9)&gt;1000000,ROUND(AVERAGE(Data!D2:D9),0),0)</f>
        <v>150875</v>
      </c>
    </row>
    <row r="129" customFormat="false" ht="15" hidden="false" customHeight="false" outlineLevel="0" collapsed="false">
      <c r="A129" s="0" t="s">
        <v>281</v>
      </c>
      <c r="B129" s="0" t="s">
        <v>282</v>
      </c>
      <c r="C129" s="0" t="n">
        <f aca="false">_xlfn.PERCENTILE.INC(Data!D2:D9,0.5)</f>
        <v>153500</v>
      </c>
    </row>
    <row r="130" customFormat="false" ht="15" hidden="false" customHeight="false" outlineLevel="0" collapsed="false">
      <c r="A130" s="0" t="s">
        <v>283</v>
      </c>
      <c r="B130" s="0" t="s">
        <v>284</v>
      </c>
      <c r="C130" s="0" t="n">
        <f aca="false">_xlfn.RANK.EQ(Data!D2,Data!D2:D9)</f>
        <v>3</v>
      </c>
    </row>
    <row r="131" customFormat="false" ht="15" hidden="false" customHeight="false" outlineLevel="0" collapsed="false">
      <c r="A131" s="0" t="s">
        <v>285</v>
      </c>
      <c r="B131" s="0" t="s">
        <v>286</v>
      </c>
      <c r="C131" s="0" t="n">
        <f aca="false">LARGE(Data!D2:D9,2)</f>
        <v>172000</v>
      </c>
    </row>
    <row r="132" customFormat="false" ht="15" hidden="false" customHeight="false" outlineLevel="0" collapsed="false">
      <c r="A132" s="0" t="s">
        <v>287</v>
      </c>
      <c r="B132" s="0" t="s">
        <v>288</v>
      </c>
      <c r="C132" s="0" t="n">
        <f aca="false">SMALL(Data!D2:D9,2)</f>
        <v>121000</v>
      </c>
    </row>
    <row r="133" customFormat="false" ht="15" hidden="false" customHeight="false" outlineLevel="0" collapsed="false">
      <c r="A133" s="0" t="s">
        <v>289</v>
      </c>
      <c r="B133" s="0" t="s">
        <v>290</v>
      </c>
      <c r="C133" s="0" t="n">
        <f aca="false">Data!$D$2+1</f>
        <v>165001</v>
      </c>
    </row>
    <row r="134" customFormat="false" ht="15" hidden="false" customHeight="false" outlineLevel="0" collapsed="false">
      <c r="A134" s="0" t="s">
        <v>291</v>
      </c>
      <c r="B134" s="0" t="s">
        <v>292</v>
      </c>
      <c r="C134" s="0" t="n">
        <f aca="false">SUM(Data!D2:D5 Data!D4:D9)</f>
        <v>307000</v>
      </c>
    </row>
    <row r="135" customFormat="false" ht="15" hidden="false" customHeight="false" outlineLevel="0" collapsed="false">
      <c r="A135" s="0" t="s">
        <v>293</v>
      </c>
      <c r="B135" s="0" t="s">
        <v>294</v>
      </c>
      <c r="C135" s="0" t="n">
        <f aca="false">SUM(Data!D2:D3,Data!D8:D9)</f>
        <v>598000</v>
      </c>
    </row>
    <row r="136" customFormat="false" ht="15" hidden="false" customHeight="false" outlineLevel="0" collapsed="false">
      <c r="A136" s="0" t="s">
        <v>295</v>
      </c>
      <c r="B136" s="0" t="s">
        <v>296</v>
      </c>
      <c r="C136" s="5" t="n">
        <f aca="false">50%</f>
        <v>0.5</v>
      </c>
    </row>
    <row r="137" customFormat="false" ht="15" hidden="false" customHeight="false" outlineLevel="0" collapsed="false">
      <c r="A137" s="0" t="s">
        <v>297</v>
      </c>
      <c r="B137" s="0" t="s">
        <v>298</v>
      </c>
      <c r="C137" s="0" t="n">
        <f aca="false">2^10</f>
        <v>1024</v>
      </c>
    </row>
    <row r="138" customFormat="false" ht="15" hidden="false" customHeight="false" outlineLevel="0" collapsed="false">
      <c r="A138" s="0" t="s">
        <v>299</v>
      </c>
      <c r="B138" s="0" t="s">
        <v>300</v>
      </c>
      <c r="C138" s="0" t="str">
        <f aca="false">"a"&amp;"b"</f>
        <v>ab</v>
      </c>
    </row>
    <row r="139" customFormat="false" ht="15" hidden="false" customHeight="false" outlineLevel="0" collapsed="false">
      <c r="A139" s="0" t="s">
        <v>301</v>
      </c>
      <c r="B139" s="0" t="s">
        <v>302</v>
      </c>
      <c r="C139" s="1" t="b">
        <f aca="false">1&lt;2</f>
        <v>1</v>
      </c>
    </row>
    <row r="140" customFormat="false" ht="15" hidden="false" customHeight="false" outlineLevel="0" collapsed="false">
      <c r="A140" s="0" t="s">
        <v>303</v>
      </c>
      <c r="B140" s="0" t="s">
        <v>304</v>
      </c>
      <c r="C140" s="0" t="n">
        <f aca="false">-(3+4)</f>
        <v>-7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2026-08-27T22:29:19Z</dcterms:created>
  <dc:creator>openpyxl</dc:creator>
  <dc:description/>
  <dc:language>en-US</dc:language>
  <cp:lastModifiedBy/>
  <dcterms:modified xsi:type="dcterms:W3CDTF">2026-08-27T22:29:19Z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