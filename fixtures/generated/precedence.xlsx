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cede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</t>
        </is>
      </c>
      <c r="B1" t="inlineStr">
        <is>
          <t>text</t>
        </is>
      </c>
      <c r="C1" t="inlineStr">
        <is>
          <t>result</t>
        </is>
      </c>
    </row>
    <row r="2">
      <c r="A2" t="inlineStr">
        <is>
          <t>pow_assoc</t>
        </is>
      </c>
      <c r="B2" t="inlineStr">
        <is>
          <t>'=2^3^2</t>
        </is>
      </c>
      <c r="C2">
        <f>2^3^2</f>
        <v/>
      </c>
    </row>
    <row r="3">
      <c r="A3" t="inlineStr">
        <is>
          <t>unary_pow</t>
        </is>
      </c>
      <c r="B3" t="inlineStr">
        <is>
          <t>'=-2^2</t>
        </is>
      </c>
      <c r="C3">
        <f>-2^2</f>
        <v/>
      </c>
    </row>
    <row r="4">
      <c r="A4" t="inlineStr">
        <is>
          <t>unary_pow_paren</t>
        </is>
      </c>
      <c r="B4" t="inlineStr">
        <is>
          <t>'=-(2^2)</t>
        </is>
      </c>
      <c r="C4">
        <f>-(2^2)</f>
        <v/>
      </c>
    </row>
    <row r="5">
      <c r="A5" t="inlineStr">
        <is>
          <t>pow_then_mul</t>
        </is>
      </c>
      <c r="B5" t="inlineStr">
        <is>
          <t>'=2*3^2</t>
        </is>
      </c>
      <c r="C5">
        <f>2*3^2</f>
        <v/>
      </c>
    </row>
    <row r="6">
      <c r="A6" t="inlineStr">
        <is>
          <t>percent_pow</t>
        </is>
      </c>
      <c r="B6" t="inlineStr">
        <is>
          <t>'=2^2%</t>
        </is>
      </c>
      <c r="C6">
        <f>2^2%</f>
        <v/>
      </c>
    </row>
    <row r="7">
      <c r="A7" t="inlineStr">
        <is>
          <t>unary_chain</t>
        </is>
      </c>
      <c r="B7" t="inlineStr">
        <is>
          <t>'=--3</t>
        </is>
      </c>
      <c r="C7">
        <f>--3</f>
        <v/>
      </c>
    </row>
    <row r="8">
      <c r="A8" t="inlineStr">
        <is>
          <t>mul_div_left</t>
        </is>
      </c>
      <c r="B8" t="inlineStr">
        <is>
          <t>'=100/10/2</t>
        </is>
      </c>
      <c r="C8">
        <f>100/10/2</f>
        <v/>
      </c>
    </row>
    <row r="9">
      <c r="A9" t="inlineStr">
        <is>
          <t>sub_left</t>
        </is>
      </c>
      <c r="B9" t="inlineStr">
        <is>
          <t>'=10-3-2</t>
        </is>
      </c>
      <c r="C9">
        <f>10-3-2</f>
        <v/>
      </c>
    </row>
    <row r="10">
      <c r="A10" t="inlineStr">
        <is>
          <t>concat_vs_compare</t>
        </is>
      </c>
      <c r="B10" t="inlineStr">
        <is>
          <t>'="a"&amp;"b"="ab"</t>
        </is>
      </c>
      <c r="C10">
        <f>"a"&amp;"b"="ab"</f>
        <v/>
      </c>
    </row>
    <row r="11">
      <c r="A11" t="inlineStr">
        <is>
          <t>compare_lowest</t>
        </is>
      </c>
      <c r="B11" t="inlineStr">
        <is>
          <t>'=1+1=2</t>
        </is>
      </c>
      <c r="C11">
        <f>1+1=2</f>
        <v/>
      </c>
    </row>
    <row r="12">
      <c r="A12" t="inlineStr">
        <is>
          <t>neg_percent</t>
        </is>
      </c>
      <c r="B12" t="inlineStr">
        <is>
          <t>'=-50%</t>
        </is>
      </c>
      <c r="C12">
        <f>-50%</f>
        <v/>
      </c>
    </row>
    <row r="13">
      <c r="A13" t="inlineStr">
        <is>
          <t>percent_of_sum</t>
        </is>
      </c>
      <c r="B13" t="inlineStr">
        <is>
          <t>'=(1+1)%</t>
        </is>
      </c>
      <c r="C13">
        <f>(1+1)%</f>
        <v/>
      </c>
    </row>
    <row r="14">
      <c r="A14" t="inlineStr">
        <is>
          <t>float_add</t>
        </is>
      </c>
      <c r="B14" t="inlineStr">
        <is>
          <t>'=0.1+0.2</t>
        </is>
      </c>
      <c r="C14">
        <f>0.1+0.2</f>
        <v/>
      </c>
    </row>
    <row r="15">
      <c r="A15" t="inlineStr">
        <is>
          <t>float_eq</t>
        </is>
      </c>
      <c r="B15" t="inlineStr">
        <is>
          <t>'=0.1+0.2=0.3</t>
        </is>
      </c>
      <c r="C15">
        <f>0.1+0.2=0.3</f>
        <v/>
      </c>
    </row>
    <row r="16">
      <c r="A16" t="inlineStr">
        <is>
          <t>float_cancel</t>
        </is>
      </c>
      <c r="B16" t="inlineStr">
        <is>
          <t>'=(0.5-0.4-0.1)</t>
        </is>
      </c>
      <c r="C16">
        <f>(0.5-0.4-0.1)</f>
        <v/>
      </c>
    </row>
    <row r="17">
      <c r="A17" t="inlineStr">
        <is>
          <t>float_cancel_eq</t>
        </is>
      </c>
      <c r="B17" t="inlineStr">
        <is>
          <t>'=(0.5-0.4-0.1)=0</t>
        </is>
      </c>
      <c r="C17">
        <f>(0.5-0.4-0.1)=0</f>
        <v/>
      </c>
    </row>
    <row r="18">
      <c r="A18" t="inlineStr">
        <is>
          <t>big_int</t>
        </is>
      </c>
      <c r="B18" t="inlineStr">
        <is>
          <t>'=9007199254740993</t>
        </is>
      </c>
      <c r="C18">
        <f>9007199254740993</f>
        <v/>
      </c>
    </row>
    <row r="19">
      <c r="A19" t="inlineStr">
        <is>
          <t>sig15</t>
        </is>
      </c>
      <c r="B19" t="inlineStr">
        <is>
          <t>'=1/3</t>
        </is>
      </c>
      <c r="C19">
        <f>1/3</f>
        <v/>
      </c>
    </row>
    <row r="20">
      <c r="A20" t="inlineStr">
        <is>
          <t>round_half</t>
        </is>
      </c>
      <c r="B20" t="inlineStr">
        <is>
          <t>'=ROUND(2.5,0)</t>
        </is>
      </c>
      <c r="C20">
        <f>ROUND(2.5,0)</f>
        <v/>
      </c>
    </row>
    <row r="21">
      <c r="A21" t="inlineStr">
        <is>
          <t>round_half_neg</t>
        </is>
      </c>
      <c r="B21" t="inlineStr">
        <is>
          <t>'=ROUND(-2.5,0)</t>
        </is>
      </c>
      <c r="C21">
        <f>ROUND(-2.5,0)</f>
        <v/>
      </c>
    </row>
    <row r="22">
      <c r="A22" t="inlineStr">
        <is>
          <t>banker_check</t>
        </is>
      </c>
      <c r="B22" t="inlineStr">
        <is>
          <t>'=ROUND(0.5,0)</t>
        </is>
      </c>
      <c r="C22">
        <f>ROUND(0.5,0)</f>
        <v/>
      </c>
    </row>
    <row r="23">
      <c r="A23" t="inlineStr">
        <is>
          <t>text_num_add</t>
        </is>
      </c>
      <c r="B23" t="inlineStr">
        <is>
          <t>'="1"+1</t>
        </is>
      </c>
      <c r="C23">
        <f>"1"+1</f>
        <v/>
      </c>
    </row>
    <row r="24">
      <c r="A24" t="inlineStr">
        <is>
          <t>bool_add</t>
        </is>
      </c>
      <c r="B24" t="inlineStr">
        <is>
          <t>'=TRUE+1</t>
        </is>
      </c>
      <c r="C24">
        <f>TRUE+1</f>
        <v/>
      </c>
    </row>
    <row r="25">
      <c r="A25" t="inlineStr">
        <is>
          <t>bool_compare</t>
        </is>
      </c>
      <c r="B25" t="inlineStr">
        <is>
          <t>'=TRUE&gt;1</t>
        </is>
      </c>
      <c r="C25">
        <f>TRUE&gt;1</f>
        <v/>
      </c>
    </row>
    <row r="26">
      <c r="A26" t="inlineStr">
        <is>
          <t>text_gt_num</t>
        </is>
      </c>
      <c r="B26" t="inlineStr">
        <is>
          <t>'="a"&gt;1</t>
        </is>
      </c>
      <c r="C26">
        <f>"a"&gt;1</f>
        <v/>
      </c>
    </row>
    <row r="27">
      <c r="A27" t="inlineStr">
        <is>
          <t>blank_add</t>
        </is>
      </c>
      <c r="B27" t="inlineStr">
        <is>
          <t>'=Z99+1</t>
        </is>
      </c>
      <c r="C27">
        <f>Z99+1</f>
        <v/>
      </c>
    </row>
    <row r="28">
      <c r="A28" t="inlineStr">
        <is>
          <t>blank_concat</t>
        </is>
      </c>
      <c r="B28" t="inlineStr">
        <is>
          <t>'=Z99&amp;"x"</t>
        </is>
      </c>
      <c r="C28">
        <f>Z99&amp;"x"</f>
        <v/>
      </c>
    </row>
    <row r="29">
      <c r="A29" t="inlineStr">
        <is>
          <t>empty_compare</t>
        </is>
      </c>
      <c r="B29" t="inlineStr">
        <is>
          <t>'=Z99=""</t>
        </is>
      </c>
      <c r="C29">
        <f>Z99=""</f>
        <v/>
      </c>
    </row>
    <row r="30">
      <c r="A30" t="inlineStr">
        <is>
          <t>empty_zero</t>
        </is>
      </c>
      <c r="B30" t="inlineStr">
        <is>
          <t>'=Z99=0</t>
        </is>
      </c>
      <c r="C30">
        <f>Z99=0</f>
        <v/>
      </c>
    </row>
    <row r="31">
      <c r="A31" t="inlineStr">
        <is>
          <t>third_times3</t>
        </is>
      </c>
      <c r="B31" t="inlineStr">
        <is>
          <t>'=1/3*3</t>
        </is>
      </c>
      <c r="C31">
        <f>1/3*3</f>
        <v/>
      </c>
    </row>
    <row r="32">
      <c r="A32" t="inlineStr">
        <is>
          <t>third_times3_eq</t>
        </is>
      </c>
      <c r="B32" t="inlineStr">
        <is>
          <t>'=1/3*3=1</t>
        </is>
      </c>
      <c r="C32">
        <f>1/3*3=1</f>
        <v/>
      </c>
    </row>
    <row r="33">
      <c r="A33" t="inlineStr">
        <is>
          <t>half_minus_four</t>
        </is>
      </c>
      <c r="B33" t="inlineStr">
        <is>
          <t>'=0.5-0.4</t>
        </is>
      </c>
      <c r="C33">
        <f>0.5-0.4</f>
        <v/>
      </c>
    </row>
    <row r="34">
      <c r="A34" t="inlineStr">
        <is>
          <t>half_minus_four_eq</t>
        </is>
      </c>
      <c r="B34" t="inlineStr">
        <is>
          <t>'=(0.5-0.4)=0.1</t>
        </is>
      </c>
      <c r="C34">
        <f>(0.5-0.4)=0.1</f>
        <v/>
      </c>
    </row>
    <row r="35">
      <c r="A35" t="inlineStr">
        <is>
          <t>point1_times3</t>
        </is>
      </c>
      <c r="B35" t="inlineStr">
        <is>
          <t>'=0.1*3</t>
        </is>
      </c>
      <c r="C35">
        <f>0.1*3</f>
        <v/>
      </c>
    </row>
    <row r="36">
      <c r="A36" t="inlineStr">
        <is>
          <t>point1_times3_eq</t>
        </is>
      </c>
      <c r="B36" t="inlineStr">
        <is>
          <t>'=0.1*3=0.3</t>
        </is>
      </c>
      <c r="C36">
        <f>0.1*3=0.3</f>
        <v/>
      </c>
    </row>
    <row r="37">
      <c r="A37" t="inlineStr">
        <is>
          <t>sum_cancel</t>
        </is>
      </c>
      <c r="B37" t="inlineStr">
        <is>
          <t>'=SUM(0.1,0.2)-0.3</t>
        </is>
      </c>
      <c r="C37">
        <f>SUM(0.1,0.2)-0.3</f>
        <v/>
      </c>
    </row>
    <row r="38">
      <c r="A38" t="inlineStr">
        <is>
          <t>sum_cancel_eq</t>
        </is>
      </c>
      <c r="B38" t="inlineStr">
        <is>
          <t>'=SUM(0.1,0.2)-0.3=0</t>
        </is>
      </c>
      <c r="C38">
        <f>SUM(0.1,0.2)-0.3=0</f>
        <v/>
      </c>
    </row>
    <row r="39">
      <c r="A39" t="inlineStr">
        <is>
          <t>tiny_lost</t>
        </is>
      </c>
      <c r="B39" t="inlineStr">
        <is>
          <t>'=1+1E-20-1</t>
        </is>
      </c>
      <c r="C39">
        <f>1+1E-20-1</f>
        <v/>
      </c>
    </row>
    <row r="40">
      <c r="A40" t="inlineStr">
        <is>
          <t>big_cancel</t>
        </is>
      </c>
      <c r="B40" t="inlineStr">
        <is>
          <t>'=1E20+1-1E20</t>
        </is>
      </c>
      <c r="C40">
        <f>1E20+1-1E20</f>
        <v/>
      </c>
      <c r="F40" t="n">
        <v>40</v>
      </c>
      <c r="G40" t="n">
        <v>41</v>
      </c>
      <c r="H40" t="n">
        <v>42</v>
      </c>
    </row>
    <row r="41">
      <c r="A41" t="inlineStr">
        <is>
          <t>seventeen_digits</t>
        </is>
      </c>
      <c r="B41" t="inlineStr">
        <is>
          <t>'=1.0000000000000002</t>
        </is>
      </c>
      <c r="C41">
        <f>1.0000000000000002</f>
        <v/>
      </c>
      <c r="F41" t="n">
        <v>41</v>
      </c>
      <c r="G41" t="n">
        <v>42</v>
      </c>
      <c r="H41" t="n">
        <v>43</v>
      </c>
    </row>
    <row r="42">
      <c r="A42" t="inlineStr">
        <is>
          <t>seventeen_eq</t>
        </is>
      </c>
      <c r="B42" t="inlineStr">
        <is>
          <t>'=1.0000000000000002=1</t>
        </is>
      </c>
      <c r="C42">
        <f>1.0000000000000002=1</f>
        <v/>
      </c>
      <c r="F42" t="n">
        <v>42</v>
      </c>
      <c r="G42" t="n">
        <v>43</v>
      </c>
      <c r="H42" t="n">
        <v>44</v>
      </c>
    </row>
    <row r="43">
      <c r="A43" t="inlineStr">
        <is>
          <t>sixteen_nines</t>
        </is>
      </c>
      <c r="B43" t="inlineStr">
        <is>
          <t>'=0.9999999999999999</t>
        </is>
      </c>
      <c r="C43">
        <f>0.9999999999999999</f>
        <v/>
      </c>
      <c r="F43" t="n">
        <v>43</v>
      </c>
      <c r="G43" t="n">
        <v>44</v>
      </c>
      <c r="H43" t="n">
        <v>45</v>
      </c>
    </row>
    <row r="44">
      <c r="A44" t="inlineStr">
        <is>
          <t>prod_chain</t>
        </is>
      </c>
      <c r="B44" t="inlineStr">
        <is>
          <t>'=0.1+0.2-0.3</t>
        </is>
      </c>
      <c r="C44">
        <f>0.1+0.2-0.3</f>
        <v/>
      </c>
      <c r="F44" t="n">
        <v>44</v>
      </c>
      <c r="G44" t="n">
        <v>45</v>
      </c>
      <c r="H44" t="n">
        <v>46</v>
      </c>
    </row>
    <row r="45">
      <c r="A45" t="inlineStr">
        <is>
          <t>prod_chain_eq</t>
        </is>
      </c>
      <c r="B45" t="inlineStr">
        <is>
          <t>'=(0.1+0.2-0.3)=0</t>
        </is>
      </c>
      <c r="C45">
        <f>(0.1+0.2-0.3)=0</f>
        <v/>
      </c>
      <c r="F45" t="n">
        <v>45</v>
      </c>
      <c r="G45" t="n">
        <v>46</v>
      </c>
      <c r="H45" t="n">
        <v>47</v>
      </c>
    </row>
    <row r="46">
      <c r="A46" t="inlineStr">
        <is>
          <t>mul_then_sub</t>
        </is>
      </c>
      <c r="B46" t="inlineStr">
        <is>
          <t>'=0.3*3-0.9</t>
        </is>
      </c>
      <c r="C46">
        <f>0.3*3-0.9</f>
        <v/>
      </c>
    </row>
    <row r="47">
      <c r="A47" t="inlineStr">
        <is>
          <t>div_precision</t>
        </is>
      </c>
      <c r="B47" t="inlineStr">
        <is>
          <t>'=1/3</t>
        </is>
      </c>
      <c r="C47">
        <f>1/3</f>
        <v/>
      </c>
    </row>
    <row r="48">
      <c r="A48" t="inlineStr">
        <is>
          <t>div_precision_x3</t>
        </is>
      </c>
      <c r="B48" t="inlineStr">
        <is>
          <t>'=(1/3)*3</t>
        </is>
      </c>
      <c r="C48">
        <f>(1/3)*3</f>
        <v/>
      </c>
    </row>
    <row r="49">
      <c r="A49" t="inlineStr">
        <is>
          <t>sqrt_sq</t>
        </is>
      </c>
      <c r="B49" t="inlineStr">
        <is>
          <t>'=SQRT(2)^2</t>
        </is>
      </c>
      <c r="C49">
        <f>SQRT(2)^2</f>
        <v/>
      </c>
    </row>
    <row r="50">
      <c r="A50" t="inlineStr">
        <is>
          <t>sqrt_sq_eq</t>
        </is>
      </c>
      <c r="B50" t="inlineStr">
        <is>
          <t>'=SQRT(2)^2=2</t>
        </is>
      </c>
      <c r="C50">
        <f>SQRT(2)^2=2</f>
        <v/>
      </c>
      <c r="D50">
        <f>0.1+0.2-0.3</f>
        <v/>
      </c>
    </row>
    <row r="51">
      <c r="A51" t="inlineStr">
        <is>
          <t>amplify_cancel</t>
        </is>
      </c>
      <c r="B51" t="inlineStr">
        <is>
          <t>'=(0.1+0.2-0.3)*1E20</t>
        </is>
      </c>
      <c r="C51">
        <f>(0.1+0.2-0.3)*1E20</f>
        <v/>
      </c>
    </row>
    <row r="52">
      <c r="A52" t="inlineStr">
        <is>
          <t>amplify_cancel2</t>
        </is>
      </c>
      <c r="B52" t="inlineStr">
        <is>
          <t>'=(0.5-0.4-0.1)*1E20</t>
        </is>
      </c>
      <c r="C52">
        <f>(0.5-0.4-0.1)*1E20</f>
        <v/>
      </c>
    </row>
    <row r="53">
      <c r="A53" t="inlineStr">
        <is>
          <t>amplify_via_cell</t>
        </is>
      </c>
      <c r="B53" t="inlineStr">
        <is>
          <t>'=D50*1E20</t>
        </is>
      </c>
      <c r="C53">
        <f>D50*1E20</f>
        <v/>
      </c>
    </row>
    <row r="54">
      <c r="A54" t="inlineStr">
        <is>
          <t>inner_residue</t>
        </is>
      </c>
      <c r="B54" t="inlineStr">
        <is>
          <t>'=ABS(0.1+0.2-0.3)&gt;0</t>
        </is>
      </c>
      <c r="C54">
        <f>ABS(0.1+0.2-0.3)&gt;0</f>
        <v/>
      </c>
    </row>
    <row r="55">
      <c r="A55" t="inlineStr">
        <is>
          <t>range_op</t>
        </is>
      </c>
      <c r="B55" t="inlineStr">
        <is>
          <t>'=SUM(F40:F42)</t>
        </is>
      </c>
      <c r="C55">
        <f>SUM(F40:F42)</f>
        <v/>
      </c>
    </row>
    <row r="56">
      <c r="A56" t="inlineStr">
        <is>
          <t>intersect_op</t>
        </is>
      </c>
      <c r="B56" t="inlineStr">
        <is>
          <t>'=SUM(F40:H42 G40:G45)</t>
        </is>
      </c>
      <c r="C56">
        <f>SUM(F40:H42 G40:G45)</f>
        <v/>
      </c>
    </row>
    <row r="57">
      <c r="A57" t="inlineStr">
        <is>
          <t>union_op</t>
        </is>
      </c>
      <c r="B57" t="inlineStr">
        <is>
          <t>'=SUM((F40:F41,F42:F43))</t>
        </is>
      </c>
      <c r="C57">
        <f>SUM((F40:F41,F42:F43))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2026-08-27T22:29:46Z</dcterms:created>
  <dcterms:modified xsi:type="dcterms:W3CDTF">2026-08-27T22:29:46Z</dcterms:modified>
</cp:coreProperties>
</file>