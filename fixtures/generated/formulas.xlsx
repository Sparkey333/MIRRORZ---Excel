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name</t>
        </is>
      </c>
      <c r="C1" t="inlineStr">
        <is>
          <t>dept</t>
        </is>
      </c>
      <c r="D1" t="inlineStr">
        <is>
          <t>salary</t>
        </is>
      </c>
      <c r="E1" t="inlineStr">
        <is>
          <t>hired</t>
        </is>
      </c>
    </row>
    <row r="2">
      <c r="A2" t="n">
        <v>1</v>
      </c>
      <c r="B2" t="inlineStr">
        <is>
          <t>Ada</t>
        </is>
      </c>
      <c r="C2" t="inlineStr">
        <is>
          <t>Eng</t>
        </is>
      </c>
      <c r="D2" t="n">
        <v>165000</v>
      </c>
      <c r="E2" t="inlineStr">
        <is>
          <t>2019-03-01</t>
        </is>
      </c>
    </row>
    <row r="3">
      <c r="A3" t="n">
        <v>2</v>
      </c>
      <c r="B3" t="inlineStr">
        <is>
          <t>Grace</t>
        </is>
      </c>
      <c r="C3" t="inlineStr">
        <is>
          <t>Eng</t>
        </is>
      </c>
      <c r="D3" t="n">
        <v>172000</v>
      </c>
      <c r="E3" t="inlineStr">
        <is>
          <t>2018-07-15</t>
        </is>
      </c>
    </row>
    <row r="4">
      <c r="A4" t="n">
        <v>3</v>
      </c>
      <c r="B4" t="inlineStr">
        <is>
          <t>Katherine</t>
        </is>
      </c>
      <c r="C4" t="inlineStr">
        <is>
          <t>Science</t>
        </is>
      </c>
      <c r="D4" t="n">
        <v>158000</v>
      </c>
      <c r="E4" t="inlineStr">
        <is>
          <t>2020-01-20</t>
        </is>
      </c>
    </row>
    <row r="5">
      <c r="A5" t="n">
        <v>4</v>
      </c>
      <c r="B5" t="inlineStr">
        <is>
          <t>Dorothy</t>
        </is>
      </c>
      <c r="C5" t="inlineStr">
        <is>
          <t>Science</t>
        </is>
      </c>
      <c r="D5" t="n">
        <v>149000</v>
      </c>
      <c r="E5" t="inlineStr">
        <is>
          <t>2021-11-02</t>
        </is>
      </c>
    </row>
    <row r="6">
      <c r="A6" t="n">
        <v>5</v>
      </c>
      <c r="B6" t="inlineStr">
        <is>
          <t>Margaret</t>
        </is>
      </c>
      <c r="C6" t="inlineStr">
        <is>
          <t>Eng</t>
        </is>
      </c>
      <c r="D6" t="n">
        <v>181000</v>
      </c>
      <c r="E6" t="inlineStr">
        <is>
          <t>2017-05-30</t>
        </is>
      </c>
    </row>
    <row r="7">
      <c r="A7" t="n">
        <v>6</v>
      </c>
      <c r="B7" t="inlineStr">
        <is>
          <t>Annie</t>
        </is>
      </c>
      <c r="C7" t="inlineStr">
        <is>
          <t>Ops</t>
        </is>
      </c>
      <c r="D7" t="n">
        <v>121000</v>
      </c>
      <c r="E7" t="inlineStr">
        <is>
          <t>2022-09-12</t>
        </is>
      </c>
    </row>
    <row r="8">
      <c r="A8" t="n">
        <v>7</v>
      </c>
      <c r="B8" t="inlineStr">
        <is>
          <t>Henrietta</t>
        </is>
      </c>
      <c r="C8" t="inlineStr">
        <is>
          <t>Ops</t>
        </is>
      </c>
      <c r="D8" t="n">
        <v>118000</v>
      </c>
      <c r="E8" t="inlineStr">
        <is>
          <t>2023-02-28</t>
        </is>
      </c>
    </row>
    <row r="9">
      <c r="A9" t="n">
        <v>8</v>
      </c>
      <c r="B9" t="inlineStr">
        <is>
          <t>Mary</t>
        </is>
      </c>
      <c r="C9" t="inlineStr">
        <is>
          <t>Science</t>
        </is>
      </c>
      <c r="D9" t="n">
        <v>143000</v>
      </c>
      <c r="E9" t="inlineStr">
        <is>
          <t>2020-06-08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formula</t>
        </is>
      </c>
      <c r="C1" t="inlineStr">
        <is>
          <t>result</t>
        </is>
      </c>
    </row>
    <row r="2">
      <c r="A2" t="inlineStr">
        <is>
          <t>SUM</t>
        </is>
      </c>
      <c r="B2" t="inlineStr">
        <is>
          <t>'=SUM(Data!D2:D9)</t>
        </is>
      </c>
      <c r="C2">
        <f>SUM(Data!D2:D9)</f>
        <v/>
      </c>
    </row>
    <row r="3">
      <c r="A3" t="inlineStr">
        <is>
          <t>AVERAGE</t>
        </is>
      </c>
      <c r="B3" t="inlineStr">
        <is>
          <t>'=AVERAGE(Data!D2:D9)</t>
        </is>
      </c>
      <c r="C3">
        <f>AVERAGE(Data!D2:D9)</f>
        <v/>
      </c>
    </row>
    <row r="4">
      <c r="A4" t="inlineStr">
        <is>
          <t>MIN</t>
        </is>
      </c>
      <c r="B4" t="inlineStr">
        <is>
          <t>'=MIN(Data!D2:D9)</t>
        </is>
      </c>
      <c r="C4">
        <f>MIN(Data!D2:D9)</f>
        <v/>
      </c>
    </row>
    <row r="5">
      <c r="A5" t="inlineStr">
        <is>
          <t>MAX</t>
        </is>
      </c>
      <c r="B5" t="inlineStr">
        <is>
          <t>'=MAX(Data!D2:D9)</t>
        </is>
      </c>
      <c r="C5">
        <f>MAX(Data!D2:D9)</f>
        <v/>
      </c>
    </row>
    <row r="6">
      <c r="A6" t="inlineStr">
        <is>
          <t>COUNT</t>
        </is>
      </c>
      <c r="B6" t="inlineStr">
        <is>
          <t>'=COUNT(Data!D2:D9)</t>
        </is>
      </c>
      <c r="C6">
        <f>COUNT(Data!D2:D9)</f>
        <v/>
      </c>
    </row>
    <row r="7">
      <c r="A7" t="inlineStr">
        <is>
          <t>COUNTA</t>
        </is>
      </c>
      <c r="B7" t="inlineStr">
        <is>
          <t>'=COUNTA(Data!A1:E9)</t>
        </is>
      </c>
      <c r="C7">
        <f>COUNTA(Data!A1:E9)</f>
        <v/>
      </c>
    </row>
    <row r="8">
      <c r="A8" t="inlineStr">
        <is>
          <t>COUNTBLANK</t>
        </is>
      </c>
      <c r="B8" t="inlineStr">
        <is>
          <t>'=COUNTBLANK(Data!A1:E20)</t>
        </is>
      </c>
      <c r="C8">
        <f>COUNTBLANK(Data!A1:E20)</f>
        <v/>
      </c>
    </row>
    <row r="9">
      <c r="A9" t="inlineStr">
        <is>
          <t>MEDIAN</t>
        </is>
      </c>
      <c r="B9" t="inlineStr">
        <is>
          <t>'=MEDIAN(Data!D2:D9)</t>
        </is>
      </c>
      <c r="C9">
        <f>MEDIAN(Data!D2:D9)</f>
        <v/>
      </c>
    </row>
    <row r="10">
      <c r="A10" t="inlineStr">
        <is>
          <t>STDEV.S</t>
        </is>
      </c>
      <c r="B10" t="inlineStr">
        <is>
          <t>'=STDEV.S(Data!D2:D9)</t>
        </is>
      </c>
      <c r="C10">
        <f>_xlfn.STDEV.S(Data!D2:D9)</f>
        <v/>
      </c>
    </row>
    <row r="11">
      <c r="A11" t="inlineStr">
        <is>
          <t>VAR.S</t>
        </is>
      </c>
      <c r="B11" t="inlineStr">
        <is>
          <t>'=VAR.S(Data!D2:D9)</t>
        </is>
      </c>
      <c r="C11">
        <f>_xlfn.VAR.S(Data!D2:D9)</f>
        <v/>
      </c>
    </row>
    <row r="12">
      <c r="A12" t="inlineStr">
        <is>
          <t>SUMIF</t>
        </is>
      </c>
      <c r="B12" t="inlineStr">
        <is>
          <t>'=SUMIF(Data!C2:C9,"Eng",Data!D2:D9)</t>
        </is>
      </c>
      <c r="C12">
        <f>SUMIF(Data!C2:C9,"Eng",Data!D2:D9)</f>
        <v/>
      </c>
    </row>
    <row r="13">
      <c r="A13" t="inlineStr">
        <is>
          <t>SUMIFS</t>
        </is>
      </c>
      <c r="B13" t="inlineStr">
        <is>
          <t>'=SUMIFS(Data!D2:D9,Data!C2:C9,"Eng",Data!D2:D9,"&gt;170000")</t>
        </is>
      </c>
      <c r="C13">
        <f>SUMIFS(Data!D2:D9,Data!C2:C9,"Eng",Data!D2:D9,"&gt;170000")</f>
        <v/>
      </c>
    </row>
    <row r="14">
      <c r="A14" t="inlineStr">
        <is>
          <t>COUNTIF</t>
        </is>
      </c>
      <c r="B14" t="inlineStr">
        <is>
          <t>'=COUNTIF(Data!C2:C9,"Science")</t>
        </is>
      </c>
      <c r="C14">
        <f>COUNTIF(Data!C2:C9,"Science")</f>
        <v/>
      </c>
    </row>
    <row r="15">
      <c r="A15" t="inlineStr">
        <is>
          <t>COUNTIFS</t>
        </is>
      </c>
      <c r="B15" t="inlineStr">
        <is>
          <t>'=COUNTIFS(Data!C2:C9,"Ops",Data!D2:D9,"&lt;120000")</t>
        </is>
      </c>
      <c r="C15">
        <f>COUNTIFS(Data!C2:C9,"Ops",Data!D2:D9,"&lt;120000")</f>
        <v/>
      </c>
    </row>
    <row r="16">
      <c r="A16" t="inlineStr">
        <is>
          <t>AVERAGEIF</t>
        </is>
      </c>
      <c r="B16" t="inlineStr">
        <is>
          <t>'=AVERAGEIF(Data!C2:C9,"Eng",Data!D2:D9)</t>
        </is>
      </c>
      <c r="C16">
        <f>AVERAGEIF(Data!C2:C9,"Eng",Data!D2:D9)</f>
        <v/>
      </c>
    </row>
    <row r="17">
      <c r="A17" t="inlineStr">
        <is>
          <t>IF</t>
        </is>
      </c>
      <c r="B17" t="inlineStr">
        <is>
          <t>'=IF(Data!D2&gt;160000,"high","low")</t>
        </is>
      </c>
      <c r="C17">
        <f>IF(Data!D2&gt;160000,"high","low")</f>
        <v/>
      </c>
    </row>
    <row r="18">
      <c r="A18" t="inlineStr">
        <is>
          <t>IFS</t>
        </is>
      </c>
      <c r="B18" t="inlineStr">
        <is>
          <t>'=IFS(Data!D2&gt;180000,"top",Data!D2&gt;150000,"mid",TRUE,"base")</t>
        </is>
      </c>
      <c r="C18">
        <f>_xlfn.IFS(Data!D2&gt;180000,"top",Data!D2&gt;150000,"mid",TRUE,"base")</f>
        <v/>
      </c>
    </row>
    <row r="19">
      <c r="A19" t="inlineStr">
        <is>
          <t>AND</t>
        </is>
      </c>
      <c r="B19" t="inlineStr">
        <is>
          <t>'=AND(1=1,2=2)</t>
        </is>
      </c>
      <c r="C19">
        <f>AND(1=1,2=2)</f>
        <v/>
      </c>
    </row>
    <row r="20">
      <c r="A20" t="inlineStr">
        <is>
          <t>OR</t>
        </is>
      </c>
      <c r="B20" t="inlineStr">
        <is>
          <t>'=OR(1=2,2=2)</t>
        </is>
      </c>
      <c r="C20">
        <f>OR(1=2,2=2)</f>
        <v/>
      </c>
    </row>
    <row r="21">
      <c r="A21" t="inlineStr">
        <is>
          <t>NOT</t>
        </is>
      </c>
      <c r="B21" t="inlineStr">
        <is>
          <t>'=NOT(1=2)</t>
        </is>
      </c>
      <c r="C21">
        <f>NOT(1=2)</f>
        <v/>
      </c>
    </row>
    <row r="22">
      <c r="A22" t="inlineStr">
        <is>
          <t>XOR</t>
        </is>
      </c>
      <c r="B22" t="inlineStr">
        <is>
          <t>'=XOR(TRUE,FALSE)</t>
        </is>
      </c>
      <c r="C22">
        <f>_xlfn.XOR(TRUE,FALSE)</f>
        <v/>
      </c>
    </row>
    <row r="23">
      <c r="A23" t="inlineStr">
        <is>
          <t>IFERROR</t>
        </is>
      </c>
      <c r="B23" t="inlineStr">
        <is>
          <t>'=IFERROR(1/0,"caught")</t>
        </is>
      </c>
      <c r="C23">
        <f>IFERROR(1/0,"caught")</f>
        <v/>
      </c>
    </row>
    <row r="24">
      <c r="A24" t="inlineStr">
        <is>
          <t>IFNA</t>
        </is>
      </c>
      <c r="B24" t="inlineStr">
        <is>
          <t>'=IFNA(NA(),"was na")</t>
        </is>
      </c>
      <c r="C24">
        <f>_xlfn.IFNA(NA(),"was na")</f>
        <v/>
      </c>
    </row>
    <row r="25">
      <c r="A25" t="inlineStr">
        <is>
          <t>VLOOKUP</t>
        </is>
      </c>
      <c r="B25" t="inlineStr">
        <is>
          <t>'=VLOOKUP(3,Data!A2:D9,2,FALSE)</t>
        </is>
      </c>
      <c r="C25">
        <f>VLOOKUP(3,Data!A2:D9,2,FALSE)</f>
        <v/>
      </c>
    </row>
    <row r="26">
      <c r="A26" t="inlineStr">
        <is>
          <t>HLOOKUP</t>
        </is>
      </c>
      <c r="B26" t="inlineStr">
        <is>
          <t>'=HLOOKUP("dept",Data!A1:E9,4,FALSE)</t>
        </is>
      </c>
      <c r="C26">
        <f>HLOOKUP("dept",Data!A1:E9,4,FALSE)</f>
        <v/>
      </c>
    </row>
    <row r="27">
      <c r="A27" t="inlineStr">
        <is>
          <t>INDEX_MATCH</t>
        </is>
      </c>
      <c r="B27" t="inlineStr">
        <is>
          <t>'=INDEX(Data!D2:D9,MATCH("Grace",Data!B2:B9,0))</t>
        </is>
      </c>
      <c r="C27">
        <f>INDEX(Data!D2:D9,MATCH("Grace",Data!B2:B9,0))</f>
        <v/>
      </c>
    </row>
    <row r="28">
      <c r="A28" t="inlineStr">
        <is>
          <t>XLOOKUP</t>
        </is>
      </c>
      <c r="B28" t="inlineStr">
        <is>
          <t>'=XLOOKUP("Annie",Data!B2:B9,Data!D2:D9,"none")</t>
        </is>
      </c>
      <c r="C28">
        <f>_xlfn.XLOOKUP("Annie",Data!B2:B9,Data!D2:D9,"none")</f>
        <v/>
      </c>
    </row>
    <row r="29">
      <c r="A29" t="inlineStr">
        <is>
          <t>XMATCH</t>
        </is>
      </c>
      <c r="B29" t="inlineStr">
        <is>
          <t>'=XMATCH("Mary",Data!B2:B9,0)</t>
        </is>
      </c>
      <c r="C29">
        <f>_xlfn.XMATCH("Mary",Data!B2:B9,0)</f>
        <v/>
      </c>
    </row>
    <row r="30">
      <c r="A30" t="inlineStr">
        <is>
          <t>OFFSET</t>
        </is>
      </c>
      <c r="B30" t="inlineStr">
        <is>
          <t>'=OFFSET(Data!A1,2,3)</t>
        </is>
      </c>
      <c r="C30">
        <f>OFFSET(Data!A1,2,3)</f>
        <v/>
      </c>
    </row>
    <row r="31">
      <c r="A31" t="inlineStr">
        <is>
          <t>INDIRECT</t>
        </is>
      </c>
      <c r="B31" t="inlineStr">
        <is>
          <t>'=INDIRECT("Data!D2")</t>
        </is>
      </c>
      <c r="C31">
        <f>INDIRECT("Data!D2")</f>
        <v/>
      </c>
    </row>
    <row r="32">
      <c r="A32" t="inlineStr">
        <is>
          <t>CHOOSE</t>
        </is>
      </c>
      <c r="B32" t="inlineStr">
        <is>
          <t>'=CHOOSE(2,"a","b","c")</t>
        </is>
      </c>
      <c r="C32">
        <f>CHOOSE(2,"a","b","c")</f>
        <v/>
      </c>
    </row>
    <row r="33">
      <c r="A33" t="inlineStr">
        <is>
          <t>ROW</t>
        </is>
      </c>
      <c r="B33" t="inlineStr">
        <is>
          <t>'=ROW(Data!A5)</t>
        </is>
      </c>
      <c r="C33">
        <f>ROW(Data!A5)</f>
        <v/>
      </c>
    </row>
    <row r="34">
      <c r="A34" t="inlineStr">
        <is>
          <t>COLUMN</t>
        </is>
      </c>
      <c r="B34" t="inlineStr">
        <is>
          <t>'=COLUMN(Data!D1)</t>
        </is>
      </c>
      <c r="C34">
        <f>COLUMN(Data!D1)</f>
        <v/>
      </c>
    </row>
    <row r="35">
      <c r="A35" t="inlineStr">
        <is>
          <t>ROWS</t>
        </is>
      </c>
      <c r="B35" t="inlineStr">
        <is>
          <t>'=ROWS(Data!A1:A9)</t>
        </is>
      </c>
      <c r="C35">
        <f>ROWS(Data!A1:A9)</f>
        <v/>
      </c>
    </row>
    <row r="36">
      <c r="A36" t="inlineStr">
        <is>
          <t>COLUMNS</t>
        </is>
      </c>
      <c r="B36" t="inlineStr">
        <is>
          <t>'=COLUMNS(Data!A1:E1)</t>
        </is>
      </c>
      <c r="C36">
        <f>COLUMNS(Data!A1:E1)</f>
        <v/>
      </c>
    </row>
    <row r="37">
      <c r="A37" t="inlineStr">
        <is>
          <t>CONCAT</t>
        </is>
      </c>
      <c r="B37" t="inlineStr">
        <is>
          <t>'=CONCAT("a","b","c")</t>
        </is>
      </c>
      <c r="C37">
        <f>_xlfn.CONCAT("a","b","c")</f>
        <v/>
      </c>
    </row>
    <row r="38">
      <c r="A38" t="inlineStr">
        <is>
          <t>TEXTJOIN</t>
        </is>
      </c>
      <c r="B38" t="inlineStr">
        <is>
          <t>'=TEXTJOIN("-",TRUE,"x","y","z")</t>
        </is>
      </c>
      <c r="C38">
        <f>_xlfn.TEXTJOIN("-",TRUE,"x","y","z")</f>
        <v/>
      </c>
    </row>
    <row r="39">
      <c r="A39" t="inlineStr">
        <is>
          <t>LEFT</t>
        </is>
      </c>
      <c r="B39" t="inlineStr">
        <is>
          <t>'=LEFT("spreadsheet",6)</t>
        </is>
      </c>
      <c r="C39">
        <f>LEFT("spreadsheet",6)</f>
        <v/>
      </c>
    </row>
    <row r="40">
      <c r="A40" t="inlineStr">
        <is>
          <t>RIGHT</t>
        </is>
      </c>
      <c r="B40" t="inlineStr">
        <is>
          <t>'=RIGHT("spreadsheet",5)</t>
        </is>
      </c>
      <c r="C40">
        <f>RIGHT("spreadsheet",5)</f>
        <v/>
      </c>
    </row>
    <row r="41">
      <c r="A41" t="inlineStr">
        <is>
          <t>MID</t>
        </is>
      </c>
      <c r="B41" t="inlineStr">
        <is>
          <t>'=MID("spreadsheet",7,5)</t>
        </is>
      </c>
      <c r="C41">
        <f>MID("spreadsheet",7,5)</f>
        <v/>
      </c>
    </row>
    <row r="42">
      <c r="A42" t="inlineStr">
        <is>
          <t>LEN</t>
        </is>
      </c>
      <c r="B42" t="inlineStr">
        <is>
          <t>'=LEN("spreadsheet")</t>
        </is>
      </c>
      <c r="C42">
        <f>LEN("spreadsheet")</f>
        <v/>
      </c>
    </row>
    <row r="43">
      <c r="A43" t="inlineStr">
        <is>
          <t>UPPER</t>
        </is>
      </c>
      <c r="B43" t="inlineStr">
        <is>
          <t>'=UPPER("abc")</t>
        </is>
      </c>
      <c r="C43">
        <f>UPPER("abc")</f>
        <v/>
      </c>
    </row>
    <row r="44">
      <c r="A44" t="inlineStr">
        <is>
          <t>LOWER</t>
        </is>
      </c>
      <c r="B44" t="inlineStr">
        <is>
          <t>'=LOWER("ABC")</t>
        </is>
      </c>
      <c r="C44">
        <f>LOWER("ABC")</f>
        <v/>
      </c>
    </row>
    <row r="45">
      <c r="A45" t="inlineStr">
        <is>
          <t>PROPER</t>
        </is>
      </c>
      <c r="B45" t="inlineStr">
        <is>
          <t>'=PROPER("hello world")</t>
        </is>
      </c>
      <c r="C45">
        <f>PROPER("hello world")</f>
        <v/>
      </c>
    </row>
    <row r="46">
      <c r="A46" t="inlineStr">
        <is>
          <t>TRIM</t>
        </is>
      </c>
      <c r="B46" t="inlineStr">
        <is>
          <t>'=TRIM("  pad  ")</t>
        </is>
      </c>
      <c r="C46">
        <f>TRIM("  pad  ")</f>
        <v/>
      </c>
    </row>
    <row r="47">
      <c r="A47" t="inlineStr">
        <is>
          <t>SUBSTITUTE</t>
        </is>
      </c>
      <c r="B47" t="inlineStr">
        <is>
          <t>'=SUBSTITUTE("a-b-c","-","+")</t>
        </is>
      </c>
      <c r="C47">
        <f>SUBSTITUTE("a-b-c","-","+")</f>
        <v/>
      </c>
    </row>
    <row r="48">
      <c r="A48" t="inlineStr">
        <is>
          <t>REPLACE</t>
        </is>
      </c>
      <c r="B48" t="inlineStr">
        <is>
          <t>'=REPLACE("abcdef",2,3,"XY")</t>
        </is>
      </c>
      <c r="C48">
        <f>REPLACE("abcdef",2,3,"XY")</f>
        <v/>
      </c>
    </row>
    <row r="49">
      <c r="A49" t="inlineStr">
        <is>
          <t>FIND</t>
        </is>
      </c>
      <c r="B49" t="inlineStr">
        <is>
          <t>'=FIND("read","spreadsheet")</t>
        </is>
      </c>
      <c r="C49">
        <f>FIND("read","spreadsheet")</f>
        <v/>
      </c>
    </row>
    <row r="50">
      <c r="A50" t="inlineStr">
        <is>
          <t>SEARCH</t>
        </is>
      </c>
      <c r="B50" t="inlineStr">
        <is>
          <t>'=SEARCH("READ","spreadsheet")</t>
        </is>
      </c>
      <c r="C50">
        <f>SEARCH("READ","spreadsheet")</f>
        <v/>
      </c>
    </row>
    <row r="51">
      <c r="A51" t="inlineStr">
        <is>
          <t>TEXT</t>
        </is>
      </c>
      <c r="B51" t="inlineStr">
        <is>
          <t>'=TEXT(1234.567,"#,##0.00")</t>
        </is>
      </c>
      <c r="C51">
        <f>TEXT(1234.567,"#,##0.00")</f>
        <v/>
      </c>
    </row>
    <row r="52">
      <c r="A52" t="inlineStr">
        <is>
          <t>VALUE</t>
        </is>
      </c>
      <c r="B52" t="inlineStr">
        <is>
          <t>'=VALUE("123.45")</t>
        </is>
      </c>
      <c r="C52">
        <f>VALUE("123.45")</f>
        <v/>
      </c>
    </row>
    <row r="53">
      <c r="A53" t="inlineStr">
        <is>
          <t>REPT</t>
        </is>
      </c>
      <c r="B53" t="inlineStr">
        <is>
          <t>'=REPT("ab",3)</t>
        </is>
      </c>
      <c r="C53">
        <f>REPT("ab",3)</f>
        <v/>
      </c>
    </row>
    <row r="54">
      <c r="A54" t="inlineStr">
        <is>
          <t>EXACT</t>
        </is>
      </c>
      <c r="B54" t="inlineStr">
        <is>
          <t>'=EXACT("a","A")</t>
        </is>
      </c>
      <c r="C54">
        <f>EXACT("a","A")</f>
        <v/>
      </c>
    </row>
    <row r="55">
      <c r="A55" t="inlineStr">
        <is>
          <t>ROUND</t>
        </is>
      </c>
      <c r="B55" t="inlineStr">
        <is>
          <t>'=ROUND(3.14159,2)</t>
        </is>
      </c>
      <c r="C55">
        <f>ROUND(3.14159,2)</f>
        <v/>
      </c>
    </row>
    <row r="56">
      <c r="A56" t="inlineStr">
        <is>
          <t>ROUNDUP</t>
        </is>
      </c>
      <c r="B56" t="inlineStr">
        <is>
          <t>'=ROUNDUP(3.14159,2)</t>
        </is>
      </c>
      <c r="C56">
        <f>ROUNDUP(3.14159,2)</f>
        <v/>
      </c>
    </row>
    <row r="57">
      <c r="A57" t="inlineStr">
        <is>
          <t>ROUNDDOWN</t>
        </is>
      </c>
      <c r="B57" t="inlineStr">
        <is>
          <t>'=ROUNDDOWN(3.14159,2)</t>
        </is>
      </c>
      <c r="C57">
        <f>ROUNDDOWN(3.14159,2)</f>
        <v/>
      </c>
    </row>
    <row r="58">
      <c r="A58" t="inlineStr">
        <is>
          <t>MROUND</t>
        </is>
      </c>
      <c r="B58" t="inlineStr">
        <is>
          <t>'=MROUND(17,5)</t>
        </is>
      </c>
      <c r="C58">
        <f>MROUND(17,5)</f>
        <v/>
      </c>
    </row>
    <row r="59">
      <c r="A59" t="inlineStr">
        <is>
          <t>CEILING.MATH</t>
        </is>
      </c>
      <c r="B59" t="inlineStr">
        <is>
          <t>'=CEILING.MATH(4.2)</t>
        </is>
      </c>
      <c r="C59">
        <f>_xlfn.CEILING.MATH(4.2)</f>
        <v/>
      </c>
    </row>
    <row r="60">
      <c r="A60" t="inlineStr">
        <is>
          <t>FLOOR.MATH</t>
        </is>
      </c>
      <c r="B60" t="inlineStr">
        <is>
          <t>'=FLOOR.MATH(4.8)</t>
        </is>
      </c>
      <c r="C60">
        <f>_xlfn.FLOOR.MATH(4.8)</f>
        <v/>
      </c>
    </row>
    <row r="61">
      <c r="A61" t="inlineStr">
        <is>
          <t>INT</t>
        </is>
      </c>
      <c r="B61" t="inlineStr">
        <is>
          <t>'=INT(-3.5)</t>
        </is>
      </c>
      <c r="C61">
        <f>INT(-3.5)</f>
        <v/>
      </c>
    </row>
    <row r="62">
      <c r="A62" t="inlineStr">
        <is>
          <t>TRUNC</t>
        </is>
      </c>
      <c r="B62" t="inlineStr">
        <is>
          <t>'=TRUNC(-3.5)</t>
        </is>
      </c>
      <c r="C62">
        <f>TRUNC(-3.5)</f>
        <v/>
      </c>
    </row>
    <row r="63">
      <c r="A63" t="inlineStr">
        <is>
          <t>ABS</t>
        </is>
      </c>
      <c r="B63" t="inlineStr">
        <is>
          <t>'=ABS(-7)</t>
        </is>
      </c>
      <c r="C63">
        <f>ABS(-7)</f>
        <v/>
      </c>
    </row>
    <row r="64">
      <c r="A64" t="inlineStr">
        <is>
          <t>SIGN</t>
        </is>
      </c>
      <c r="B64" t="inlineStr">
        <is>
          <t>'=SIGN(-7)</t>
        </is>
      </c>
      <c r="C64">
        <f>SIGN(-7)</f>
        <v/>
      </c>
    </row>
    <row r="65">
      <c r="A65" t="inlineStr">
        <is>
          <t>MOD</t>
        </is>
      </c>
      <c r="B65" t="inlineStr">
        <is>
          <t>'=MOD(-7,3)</t>
        </is>
      </c>
      <c r="C65">
        <f>MOD(-7,3)</f>
        <v/>
      </c>
    </row>
    <row r="66">
      <c r="A66" t="inlineStr">
        <is>
          <t>QUOTIENT</t>
        </is>
      </c>
      <c r="B66" t="inlineStr">
        <is>
          <t>'=QUOTIENT(7,2)</t>
        </is>
      </c>
      <c r="C66">
        <f>QUOTIENT(7,2)</f>
        <v/>
      </c>
    </row>
    <row r="67">
      <c r="A67" t="inlineStr">
        <is>
          <t>POWER</t>
        </is>
      </c>
      <c r="B67" t="inlineStr">
        <is>
          <t>'=POWER(2,10)</t>
        </is>
      </c>
      <c r="C67">
        <f>POWER(2,10)</f>
        <v/>
      </c>
    </row>
    <row r="68">
      <c r="A68" t="inlineStr">
        <is>
          <t>SQRT</t>
        </is>
      </c>
      <c r="B68" t="inlineStr">
        <is>
          <t>'=SQRT(144)</t>
        </is>
      </c>
      <c r="C68">
        <f>SQRT(144)</f>
        <v/>
      </c>
    </row>
    <row r="69">
      <c r="A69" t="inlineStr">
        <is>
          <t>EXP</t>
        </is>
      </c>
      <c r="B69" t="inlineStr">
        <is>
          <t>'=EXP(1)</t>
        </is>
      </c>
      <c r="C69">
        <f>EXP(1)</f>
        <v/>
      </c>
    </row>
    <row r="70">
      <c r="A70" t="inlineStr">
        <is>
          <t>LN</t>
        </is>
      </c>
      <c r="B70" t="inlineStr">
        <is>
          <t>'=LN(EXP(2))</t>
        </is>
      </c>
      <c r="C70">
        <f>LN(EXP(2))</f>
        <v/>
      </c>
    </row>
    <row r="71">
      <c r="A71" t="inlineStr">
        <is>
          <t>LOG10</t>
        </is>
      </c>
      <c r="B71" t="inlineStr">
        <is>
          <t>'=LOG10(1000)</t>
        </is>
      </c>
      <c r="C71">
        <f>LOG10(1000)</f>
        <v/>
      </c>
    </row>
    <row r="72">
      <c r="A72" t="inlineStr">
        <is>
          <t>LOG</t>
        </is>
      </c>
      <c r="B72" t="inlineStr">
        <is>
          <t>'=LOG(8,2)</t>
        </is>
      </c>
      <c r="C72">
        <f>LOG(8,2)</f>
        <v/>
      </c>
    </row>
    <row r="73">
      <c r="A73" t="inlineStr">
        <is>
          <t>PI</t>
        </is>
      </c>
      <c r="B73" t="inlineStr">
        <is>
          <t>'=PI()</t>
        </is>
      </c>
      <c r="C73">
        <f>PI()</f>
        <v/>
      </c>
    </row>
    <row r="74">
      <c r="A74" t="inlineStr">
        <is>
          <t>SIN</t>
        </is>
      </c>
      <c r="B74" t="inlineStr">
        <is>
          <t>'=SIN(PI()/2)</t>
        </is>
      </c>
      <c r="C74">
        <f>SIN(PI()/2)</f>
        <v/>
      </c>
    </row>
    <row r="75">
      <c r="A75" t="inlineStr">
        <is>
          <t>COS</t>
        </is>
      </c>
      <c r="B75" t="inlineStr">
        <is>
          <t>'=COS(0)</t>
        </is>
      </c>
      <c r="C75">
        <f>COS(0)</f>
        <v/>
      </c>
    </row>
    <row r="76">
      <c r="A76" t="inlineStr">
        <is>
          <t>TAN</t>
        </is>
      </c>
      <c r="B76" t="inlineStr">
        <is>
          <t>'=TAN(0)</t>
        </is>
      </c>
      <c r="C76">
        <f>TAN(0)</f>
        <v/>
      </c>
    </row>
    <row r="77">
      <c r="A77" t="inlineStr">
        <is>
          <t>ATAN2</t>
        </is>
      </c>
      <c r="B77" t="inlineStr">
        <is>
          <t>'=ATAN2(1,1)</t>
        </is>
      </c>
      <c r="C77">
        <f>ATAN2(1,1)</f>
        <v/>
      </c>
    </row>
    <row r="78">
      <c r="A78" t="inlineStr">
        <is>
          <t>DEGREES</t>
        </is>
      </c>
      <c r="B78" t="inlineStr">
        <is>
          <t>'=DEGREES(PI())</t>
        </is>
      </c>
      <c r="C78">
        <f>DEGREES(PI())</f>
        <v/>
      </c>
    </row>
    <row r="79">
      <c r="A79" t="inlineStr">
        <is>
          <t>RADIANS</t>
        </is>
      </c>
      <c r="B79" t="inlineStr">
        <is>
          <t>'=RADIANS(180)</t>
        </is>
      </c>
      <c r="C79">
        <f>RADIANS(180)</f>
        <v/>
      </c>
    </row>
    <row r="80">
      <c r="A80" t="inlineStr">
        <is>
          <t>SUMPRODUCT</t>
        </is>
      </c>
      <c r="B80" t="inlineStr">
        <is>
          <t>'=SUMPRODUCT(Data!A2:A9,Data!D2:D9)</t>
        </is>
      </c>
      <c r="C80">
        <f>SUMPRODUCT(Data!A2:A9,Data!D2:D9)</f>
        <v/>
      </c>
    </row>
    <row r="81">
      <c r="A81" t="inlineStr">
        <is>
          <t>SUMSQ</t>
        </is>
      </c>
      <c r="B81" t="inlineStr">
        <is>
          <t>'=SUMSQ(3,4)</t>
        </is>
      </c>
      <c r="C81">
        <f>SUMSQ(3,4)</f>
        <v/>
      </c>
    </row>
    <row r="82">
      <c r="A82" t="inlineStr">
        <is>
          <t>PRODUCT</t>
        </is>
      </c>
      <c r="B82" t="inlineStr">
        <is>
          <t>'=PRODUCT(2,3,4)</t>
        </is>
      </c>
      <c r="C82">
        <f>PRODUCT(2,3,4)</f>
        <v/>
      </c>
    </row>
    <row r="83">
      <c r="A83" t="inlineStr">
        <is>
          <t>GCD</t>
        </is>
      </c>
      <c r="B83" t="inlineStr">
        <is>
          <t>'=GCD(24,36)</t>
        </is>
      </c>
      <c r="C83">
        <f>GCD(24,36)</f>
        <v/>
      </c>
    </row>
    <row r="84">
      <c r="A84" t="inlineStr">
        <is>
          <t>LCM</t>
        </is>
      </c>
      <c r="B84" t="inlineStr">
        <is>
          <t>'=LCM(4,6)</t>
        </is>
      </c>
      <c r="C84">
        <f>LCM(4,6)</f>
        <v/>
      </c>
    </row>
    <row r="85">
      <c r="A85" t="inlineStr">
        <is>
          <t>FACT</t>
        </is>
      </c>
      <c r="B85" t="inlineStr">
        <is>
          <t>'=FACT(6)</t>
        </is>
      </c>
      <c r="C85">
        <f>FACT(6)</f>
        <v/>
      </c>
    </row>
    <row r="86">
      <c r="A86" t="inlineStr">
        <is>
          <t>COMBIN</t>
        </is>
      </c>
      <c r="B86" t="inlineStr">
        <is>
          <t>'=COMBIN(10,3)</t>
        </is>
      </c>
      <c r="C86">
        <f>COMBIN(10,3)</f>
        <v/>
      </c>
    </row>
    <row r="87">
      <c r="A87" t="inlineStr">
        <is>
          <t>DATE</t>
        </is>
      </c>
      <c r="B87" t="inlineStr">
        <is>
          <t>'=DATE(2024,2,29)</t>
        </is>
      </c>
      <c r="C87">
        <f>DATE(2024,2,29)</f>
        <v/>
      </c>
    </row>
    <row r="88">
      <c r="A88" t="inlineStr">
        <is>
          <t>YEAR</t>
        </is>
      </c>
      <c r="B88" t="inlineStr">
        <is>
          <t>'=YEAR(DATE(2024,2,29))</t>
        </is>
      </c>
      <c r="C88">
        <f>YEAR(DATE(2024,2,29))</f>
        <v/>
      </c>
    </row>
    <row r="89">
      <c r="A89" t="inlineStr">
        <is>
          <t>MONTH</t>
        </is>
      </c>
      <c r="B89" t="inlineStr">
        <is>
          <t>'=MONTH(DATE(2024,2,29))</t>
        </is>
      </c>
      <c r="C89">
        <f>MONTH(DATE(2024,2,29))</f>
        <v/>
      </c>
    </row>
    <row r="90">
      <c r="A90" t="inlineStr">
        <is>
          <t>DAY</t>
        </is>
      </c>
      <c r="B90" t="inlineStr">
        <is>
          <t>'=DAY(DATE(2024,2,29))</t>
        </is>
      </c>
      <c r="C90">
        <f>DAY(DATE(2024,2,29))</f>
        <v/>
      </c>
    </row>
    <row r="91">
      <c r="A91" t="inlineStr">
        <is>
          <t>EOMONTH</t>
        </is>
      </c>
      <c r="B91" t="inlineStr">
        <is>
          <t>'=EOMONTH(DATE(2024,1,15),0)</t>
        </is>
      </c>
      <c r="C91">
        <f>EOMONTH(DATE(2024,1,15),0)</f>
        <v/>
      </c>
    </row>
    <row r="92">
      <c r="A92" t="inlineStr">
        <is>
          <t>EDATE</t>
        </is>
      </c>
      <c r="B92" t="inlineStr">
        <is>
          <t>'=EDATE(DATE(2024,1,31),1)</t>
        </is>
      </c>
      <c r="C92">
        <f>EDATE(DATE(2024,1,31),1)</f>
        <v/>
      </c>
    </row>
    <row r="93">
      <c r="A93" t="inlineStr">
        <is>
          <t>WEEKDAY</t>
        </is>
      </c>
      <c r="B93" t="inlineStr">
        <is>
          <t>'=WEEKDAY(DATE(2024,3,1))</t>
        </is>
      </c>
      <c r="C93">
        <f>WEEKDAY(DATE(2024,3,1))</f>
        <v/>
      </c>
    </row>
    <row r="94">
      <c r="A94" t="inlineStr">
        <is>
          <t>WEEKNUM</t>
        </is>
      </c>
      <c r="B94" t="inlineStr">
        <is>
          <t>'=WEEKNUM(DATE(2024,3,1))</t>
        </is>
      </c>
      <c r="C94">
        <f>WEEKNUM(DATE(2024,3,1))</f>
        <v/>
      </c>
    </row>
    <row r="95">
      <c r="A95" t="inlineStr">
        <is>
          <t>DATEDIF</t>
        </is>
      </c>
      <c r="B95" t="inlineStr">
        <is>
          <t>'=DATEDIF(DATE(2020,1,1),DATE(2024,3,1),"m")</t>
        </is>
      </c>
      <c r="C95">
        <f>DATEDIF(DATE(2020,1,1),DATE(2024,3,1),"m")</f>
        <v/>
      </c>
    </row>
    <row r="96">
      <c r="A96" t="inlineStr">
        <is>
          <t>DAYS</t>
        </is>
      </c>
      <c r="B96" t="inlineStr">
        <is>
          <t>'=DAYS(DATE(2024,3,1),DATE(2024,1,1))</t>
        </is>
      </c>
      <c r="C96">
        <f>_xlfn.DAYS(DATE(2024,3,1),DATE(2024,1,1))</f>
        <v/>
      </c>
    </row>
    <row r="97">
      <c r="A97" t="inlineStr">
        <is>
          <t>NETWORKDAYS</t>
        </is>
      </c>
      <c r="B97" t="inlineStr">
        <is>
          <t>'=NETWORKDAYS(DATE(2024,1,1),DATE(2024,1,31))</t>
        </is>
      </c>
      <c r="C97">
        <f>NETWORKDAYS(DATE(2024,1,1),DATE(2024,1,31))</f>
        <v/>
      </c>
    </row>
    <row r="98">
      <c r="A98" t="inlineStr">
        <is>
          <t>WORKDAY</t>
        </is>
      </c>
      <c r="B98" t="inlineStr">
        <is>
          <t>'=WORKDAY(DATE(2024,1,1),10)</t>
        </is>
      </c>
      <c r="C98">
        <f>WORKDAY(DATE(2024,1,1),10)</f>
        <v/>
      </c>
    </row>
    <row r="99">
      <c r="A99" t="inlineStr">
        <is>
          <t>TIME</t>
        </is>
      </c>
      <c r="B99" t="inlineStr">
        <is>
          <t>'=TIME(13,45,30)</t>
        </is>
      </c>
      <c r="C99">
        <f>TIME(13,45,30)</f>
        <v/>
      </c>
    </row>
    <row r="100">
      <c r="A100" t="inlineStr">
        <is>
          <t>HOUR</t>
        </is>
      </c>
      <c r="B100" t="inlineStr">
        <is>
          <t>'=HOUR(TIME(13,45,30))</t>
        </is>
      </c>
      <c r="C100">
        <f>HOUR(TIME(13,45,30))</f>
        <v/>
      </c>
    </row>
    <row r="101">
      <c r="A101" t="inlineStr">
        <is>
          <t>MINUTE</t>
        </is>
      </c>
      <c r="B101" t="inlineStr">
        <is>
          <t>'=MINUTE(TIME(13,45,30))</t>
        </is>
      </c>
      <c r="C101">
        <f>MINUTE(TIME(13,45,30))</f>
        <v/>
      </c>
    </row>
    <row r="102">
      <c r="A102" t="inlineStr">
        <is>
          <t>SECOND</t>
        </is>
      </c>
      <c r="B102" t="inlineStr">
        <is>
          <t>'=SECOND(TIME(13,45,30))</t>
        </is>
      </c>
      <c r="C102">
        <f>SECOND(TIME(13,45,30))</f>
        <v/>
      </c>
    </row>
    <row r="103">
      <c r="A103" t="inlineStr">
        <is>
          <t>PMT</t>
        </is>
      </c>
      <c r="B103" t="inlineStr">
        <is>
          <t>'=PMT(0.05/12,360,-300000)</t>
        </is>
      </c>
      <c r="C103">
        <f>PMT(0.05/12,360,-300000)</f>
        <v/>
      </c>
    </row>
    <row r="104">
      <c r="A104" t="inlineStr">
        <is>
          <t>FV</t>
        </is>
      </c>
      <c r="B104" t="inlineStr">
        <is>
          <t>'=FV(0.05/12,360,-1000)</t>
        </is>
      </c>
      <c r="C104">
        <f>FV(0.05/12,360,-1000)</f>
        <v/>
      </c>
    </row>
    <row r="105">
      <c r="A105" t="inlineStr">
        <is>
          <t>PV</t>
        </is>
      </c>
      <c r="B105" t="inlineStr">
        <is>
          <t>'=PV(0.05/12,360,-1000)</t>
        </is>
      </c>
      <c r="C105">
        <f>PV(0.05/12,360,-1000)</f>
        <v/>
      </c>
    </row>
    <row r="106">
      <c r="A106" t="inlineStr">
        <is>
          <t>NPER</t>
        </is>
      </c>
      <c r="B106" t="inlineStr">
        <is>
          <t>'=NPER(0.05/12,-1000,200000)</t>
        </is>
      </c>
      <c r="C106">
        <f>NPER(0.05/12,-1000,200000)</f>
        <v/>
      </c>
    </row>
    <row r="107">
      <c r="A107" t="inlineStr">
        <is>
          <t>RATE</t>
        </is>
      </c>
      <c r="B107" t="inlineStr">
        <is>
          <t>'=RATE(360,-1500,250000)</t>
        </is>
      </c>
      <c r="C107">
        <f>RATE(360,-1500,250000)</f>
        <v/>
      </c>
    </row>
    <row r="108">
      <c r="A108" t="inlineStr">
        <is>
          <t>NPV</t>
        </is>
      </c>
      <c r="B108" t="inlineStr">
        <is>
          <t>'=NPV(0.1,-100,50,60,70)</t>
        </is>
      </c>
      <c r="C108">
        <f>NPV(0.1,-100,50,60,70)</f>
        <v/>
      </c>
    </row>
    <row r="109">
      <c r="A109" t="inlineStr">
        <is>
          <t>IRR</t>
        </is>
      </c>
      <c r="B109" t="inlineStr">
        <is>
          <t>'=IRR({-100,50,60,70})</t>
        </is>
      </c>
      <c r="C109">
        <f>IRR({-100,50,60,70})</f>
        <v/>
      </c>
    </row>
    <row r="110">
      <c r="A110" t="inlineStr">
        <is>
          <t>SLN</t>
        </is>
      </c>
      <c r="B110" t="inlineStr">
        <is>
          <t>'=SLN(10000,1000,5)</t>
        </is>
      </c>
      <c r="C110">
        <f>SLN(10000,1000,5)</f>
        <v/>
      </c>
    </row>
    <row r="111">
      <c r="A111" t="inlineStr">
        <is>
          <t>ISBLANK</t>
        </is>
      </c>
      <c r="B111" t="inlineStr">
        <is>
          <t>'=ISBLANK(Data!Z1)</t>
        </is>
      </c>
      <c r="C111">
        <f>ISBLANK(Data!Z1)</f>
        <v/>
      </c>
    </row>
    <row r="112">
      <c r="A112" t="inlineStr">
        <is>
          <t>ISNUMBER</t>
        </is>
      </c>
      <c r="B112" t="inlineStr">
        <is>
          <t>'=ISNUMBER(1)</t>
        </is>
      </c>
      <c r="C112">
        <f>ISNUMBER(1)</f>
        <v/>
      </c>
    </row>
    <row r="113">
      <c r="A113" t="inlineStr">
        <is>
          <t>ISTEXT</t>
        </is>
      </c>
      <c r="B113" t="inlineStr">
        <is>
          <t>'=ISTEXT("a")</t>
        </is>
      </c>
      <c r="C113">
        <f>ISTEXT("a")</f>
        <v/>
      </c>
    </row>
    <row r="114">
      <c r="A114" t="inlineStr">
        <is>
          <t>ISERROR</t>
        </is>
      </c>
      <c r="B114" t="inlineStr">
        <is>
          <t>'=ISERROR(1/0)</t>
        </is>
      </c>
      <c r="C114">
        <f>ISERROR(1/0)</f>
        <v/>
      </c>
    </row>
    <row r="115">
      <c r="A115" t="inlineStr">
        <is>
          <t>ISERR</t>
        </is>
      </c>
      <c r="B115" t="inlineStr">
        <is>
          <t>'=ISERR(NA())</t>
        </is>
      </c>
      <c r="C115">
        <f>ISERR(NA())</f>
        <v/>
      </c>
    </row>
    <row r="116">
      <c r="A116" t="inlineStr">
        <is>
          <t>ISNA</t>
        </is>
      </c>
      <c r="B116" t="inlineStr">
        <is>
          <t>'=ISNA(NA())</t>
        </is>
      </c>
      <c r="C116">
        <f>ISNA(NA())</f>
        <v/>
      </c>
    </row>
    <row r="117">
      <c r="A117" t="inlineStr">
        <is>
          <t>ISLOGICAL</t>
        </is>
      </c>
      <c r="B117" t="inlineStr">
        <is>
          <t>'=ISLOGICAL(TRUE)</t>
        </is>
      </c>
      <c r="C117">
        <f>ISLOGICAL(TRUE)</f>
        <v/>
      </c>
    </row>
    <row r="118">
      <c r="A118" t="inlineStr">
        <is>
          <t>ISEVEN</t>
        </is>
      </c>
      <c r="B118" t="inlineStr">
        <is>
          <t>'=ISEVEN(4)</t>
        </is>
      </c>
      <c r="C118">
        <f>ISEVEN(4)</f>
        <v/>
      </c>
    </row>
    <row r="119">
      <c r="A119" t="inlineStr">
        <is>
          <t>ISODD</t>
        </is>
      </c>
      <c r="B119" t="inlineStr">
        <is>
          <t>'=ISODD(4)</t>
        </is>
      </c>
      <c r="C119">
        <f>ISODD(4)</f>
        <v/>
      </c>
    </row>
    <row r="120">
      <c r="A120" t="inlineStr">
        <is>
          <t>N</t>
        </is>
      </c>
      <c r="B120" t="inlineStr">
        <is>
          <t>'=N(TRUE)</t>
        </is>
      </c>
      <c r="C120">
        <f>N(TRUE)</f>
        <v/>
      </c>
    </row>
    <row r="121">
      <c r="A121" t="inlineStr">
        <is>
          <t>T</t>
        </is>
      </c>
      <c r="B121" t="inlineStr">
        <is>
          <t>'=T("txt")</t>
        </is>
      </c>
      <c r="C121">
        <f>T("txt")</f>
        <v/>
      </c>
    </row>
    <row r="122">
      <c r="A122" t="inlineStr">
        <is>
          <t>TYPE</t>
        </is>
      </c>
      <c r="B122" t="inlineStr">
        <is>
          <t>'=TYPE(1)</t>
        </is>
      </c>
      <c r="C122">
        <f>TYPE(1)</f>
        <v/>
      </c>
    </row>
    <row r="123">
      <c r="A123" t="inlineStr">
        <is>
          <t>ERR_DIV0</t>
        </is>
      </c>
      <c r="B123" t="inlineStr">
        <is>
          <t>'=1/0</t>
        </is>
      </c>
      <c r="C123">
        <f>1/0</f>
        <v/>
      </c>
    </row>
    <row r="124">
      <c r="A124" t="inlineStr">
        <is>
          <t>ERR_VALUE</t>
        </is>
      </c>
      <c r="B124" t="inlineStr">
        <is>
          <t>'="a"+1</t>
        </is>
      </c>
      <c r="C124">
        <f>"a"+1</f>
        <v/>
      </c>
    </row>
    <row r="125">
      <c r="A125" t="inlineStr">
        <is>
          <t>ERR_NAME</t>
        </is>
      </c>
      <c r="B125" t="inlineStr">
        <is>
          <t>'=NOTAFUNCTION(1)</t>
        </is>
      </c>
      <c r="C125">
        <f>NOTAFUNCTION(1)</f>
        <v/>
      </c>
    </row>
    <row r="126">
      <c r="A126" t="inlineStr">
        <is>
          <t>ERR_REF</t>
        </is>
      </c>
      <c r="B126" t="inlineStr">
        <is>
          <t>'=SUM(Data!A1:A2)/0</t>
        </is>
      </c>
      <c r="C126">
        <f>SUM(Data!A1:A2)/0</f>
        <v/>
      </c>
    </row>
    <row r="127">
      <c r="A127" t="inlineStr">
        <is>
          <t>ARRAY_SUM</t>
        </is>
      </c>
      <c r="B127" t="inlineStr">
        <is>
          <t>'=SUM({1,2,3;4,5,6})</t>
        </is>
      </c>
      <c r="C127">
        <f>SUM({1,2,3;4,5,6})</f>
        <v/>
      </c>
    </row>
    <row r="128">
      <c r="A128" t="inlineStr">
        <is>
          <t>NESTED</t>
        </is>
      </c>
      <c r="B128" t="inlineStr">
        <is>
          <t>'=IF(SUM(Data!D2:D9)&gt;1000000,ROUND(AVERAGE(Data!D2:D9),0),0)</t>
        </is>
      </c>
      <c r="C128">
        <f>IF(SUM(Data!D2:D9)&gt;1000000,ROUND(AVERAGE(Data!D2:D9),0),0)</f>
        <v/>
      </c>
    </row>
    <row r="129">
      <c r="A129" t="inlineStr">
        <is>
          <t>PCT_RANK</t>
        </is>
      </c>
      <c r="B129" t="inlineStr">
        <is>
          <t>'=PERCENTILE.INC(Data!D2:D9,0.5)</t>
        </is>
      </c>
      <c r="C129">
        <f>_xlfn.PERCENTILE.INC(Data!D2:D9,0.5)</f>
        <v/>
      </c>
    </row>
    <row r="130">
      <c r="A130" t="inlineStr">
        <is>
          <t>RANK</t>
        </is>
      </c>
      <c r="B130" t="inlineStr">
        <is>
          <t>'=RANK.EQ(Data!D2,Data!D2:D9)</t>
        </is>
      </c>
      <c r="C130">
        <f>_xlfn.RANK.EQ(Data!D2,Data!D2:D9)</f>
        <v/>
      </c>
    </row>
    <row r="131">
      <c r="A131" t="inlineStr">
        <is>
          <t>LARGE</t>
        </is>
      </c>
      <c r="B131" t="inlineStr">
        <is>
          <t>'=LARGE(Data!D2:D9,2)</t>
        </is>
      </c>
      <c r="C131">
        <f>LARGE(Data!D2:D9,2)</f>
        <v/>
      </c>
    </row>
    <row r="132">
      <c r="A132" t="inlineStr">
        <is>
          <t>SMALL</t>
        </is>
      </c>
      <c r="B132" t="inlineStr">
        <is>
          <t>'=SMALL(Data!D2:D9,2)</t>
        </is>
      </c>
      <c r="C132">
        <f>SMALL(Data!D2:D9,2)</f>
        <v/>
      </c>
    </row>
    <row r="133">
      <c r="A133" t="inlineStr">
        <is>
          <t>ABS_REF</t>
        </is>
      </c>
      <c r="B133" t="inlineStr">
        <is>
          <t>'=Data!$D$2+1</t>
        </is>
      </c>
      <c r="C133">
        <f>Data!$D$2+1</f>
        <v/>
      </c>
    </row>
    <row r="134">
      <c r="A134" t="inlineStr">
        <is>
          <t>RANGE_OP</t>
        </is>
      </c>
      <c r="B134" t="inlineStr">
        <is>
          <t>'=SUM(Data!D2:D5 Data!D4:D9)</t>
        </is>
      </c>
      <c r="C134">
        <f>SUM(Data!D2:D5 Data!D4:D9)</f>
        <v/>
      </c>
    </row>
    <row r="135">
      <c r="A135" t="inlineStr">
        <is>
          <t>UNION_OP</t>
        </is>
      </c>
      <c r="B135" t="inlineStr">
        <is>
          <t>'=SUM(Data!D2:D3,Data!D8:D9)</t>
        </is>
      </c>
      <c r="C135">
        <f>SUM(Data!D2:D3,Data!D8:D9)</f>
        <v/>
      </c>
    </row>
    <row r="136">
      <c r="A136" t="inlineStr">
        <is>
          <t>PERCENT_LIT</t>
        </is>
      </c>
      <c r="B136" t="inlineStr">
        <is>
          <t>'=50%</t>
        </is>
      </c>
      <c r="C136">
        <f>50%</f>
        <v/>
      </c>
    </row>
    <row r="137">
      <c r="A137" t="inlineStr">
        <is>
          <t>EXPONENT</t>
        </is>
      </c>
      <c r="B137" t="inlineStr">
        <is>
          <t>'=2^10</t>
        </is>
      </c>
      <c r="C137">
        <f>2^10</f>
        <v/>
      </c>
    </row>
    <row r="138">
      <c r="A138" t="inlineStr">
        <is>
          <t>CONCAT_OP</t>
        </is>
      </c>
      <c r="B138" t="inlineStr">
        <is>
          <t>'="a"&amp;"b"</t>
        </is>
      </c>
      <c r="C138">
        <f>"a"&amp;"b"</f>
        <v/>
      </c>
    </row>
    <row r="139">
      <c r="A139" t="inlineStr">
        <is>
          <t>COMPARE</t>
        </is>
      </c>
      <c r="B139" t="inlineStr">
        <is>
          <t>'=1&lt;2</t>
        </is>
      </c>
      <c r="C139">
        <f>1&lt;2</f>
        <v/>
      </c>
    </row>
    <row r="140">
      <c r="A140" t="inlineStr">
        <is>
          <t>UNARY_NEG</t>
        </is>
      </c>
      <c r="B140" t="inlineStr">
        <is>
          <t>'=-(3+4)</t>
        </is>
      </c>
      <c r="C140">
        <f>-(3+4)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2026-08-27T22:29:19Z</dcterms:created>
  <dcterms:modified xsi:type="dcterms:W3CDTF">2026-08-27T22:29:19Z</dcterms:modified>
</cp:coreProperties>
</file>